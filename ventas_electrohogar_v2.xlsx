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\Desktop\RUBEN\Analista de Datos\Proyectos Fictisios\"/>
    </mc:Choice>
  </mc:AlternateContent>
  <xr:revisionPtr revIDLastSave="0" documentId="13_ncr:1_{505423ED-372C-4D53-AB77-D82B9AC2AE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2" r:id="rId1"/>
    <sheet name="ventas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</calcChain>
</file>

<file path=xl/sharedStrings.xml><?xml version="1.0" encoding="utf-8"?>
<sst xmlns="http://schemas.openxmlformats.org/spreadsheetml/2006/main" count="5144" uniqueCount="52">
  <si>
    <t>fecha</t>
  </si>
  <si>
    <t>vendedor</t>
  </si>
  <si>
    <t>cliente</t>
  </si>
  <si>
    <t>categoria</t>
  </si>
  <si>
    <t>nivel_producto</t>
  </si>
  <si>
    <t>producto</t>
  </si>
  <si>
    <t>cantidad</t>
  </si>
  <si>
    <t>precio_unitario</t>
  </si>
  <si>
    <t>costo_unitario</t>
  </si>
  <si>
    <t>ciudad</t>
  </si>
  <si>
    <t>Ana</t>
  </si>
  <si>
    <t>Cliente Final</t>
  </si>
  <si>
    <t>Lavarropas</t>
  </si>
  <si>
    <t>Premium</t>
  </si>
  <si>
    <t>Lavarropas Inverter</t>
  </si>
  <si>
    <t>Asunción</t>
  </si>
  <si>
    <t>Medio</t>
  </si>
  <si>
    <t>Lavarropas Automático</t>
  </si>
  <si>
    <t>Carlos</t>
  </si>
  <si>
    <t>Pequeños electrodomésticos</t>
  </si>
  <si>
    <t>Básico</t>
  </si>
  <si>
    <t>Licuadora Básica</t>
  </si>
  <si>
    <t>San Lorenzo</t>
  </si>
  <si>
    <t>Televisores</t>
  </si>
  <si>
    <t>Smart TV 50"</t>
  </si>
  <si>
    <t>Luque</t>
  </si>
  <si>
    <t>Heladeras</t>
  </si>
  <si>
    <t>Heladera Premium 450L</t>
  </si>
  <si>
    <t>Smart TV 65" 4K</t>
  </si>
  <si>
    <t>Lambaré</t>
  </si>
  <si>
    <t>TV LED 32"</t>
  </si>
  <si>
    <t>Fernando de la Mora</t>
  </si>
  <si>
    <t>Luis</t>
  </si>
  <si>
    <t>Procesadora Premium</t>
  </si>
  <si>
    <t>Marta</t>
  </si>
  <si>
    <t>Cafetera Eléctrica</t>
  </si>
  <si>
    <t>Heladera Básica 250L</t>
  </si>
  <si>
    <t>Lavarropas Semiautomático</t>
  </si>
  <si>
    <t>Aires acondicionados</t>
  </si>
  <si>
    <t>Split 12000 BTU</t>
  </si>
  <si>
    <t>Heladera Inverter 300L</t>
  </si>
  <si>
    <t>Split Inverter</t>
  </si>
  <si>
    <t>Aire Ventana</t>
  </si>
  <si>
    <t>venta_total</t>
  </si>
  <si>
    <t>costo_total</t>
  </si>
  <si>
    <t>margen</t>
  </si>
  <si>
    <t>margen_%</t>
  </si>
  <si>
    <t>Etiquetas de fila</t>
  </si>
  <si>
    <t>Total general</t>
  </si>
  <si>
    <t>Suma de venta_total</t>
  </si>
  <si>
    <t>Promedio de margen_%</t>
  </si>
  <si>
    <t>Suma de 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</si>
</sst>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₲&quot;\ #,##0"/>
    <numFmt numFmtId="165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65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2">
    <cellStyle name="Normal" xfId="0" builtinId="0"/>
    <cellStyle name="Porcentaje" xfId="1" builtinId="5"/>
  </cellStyles>
  <dxfs count="7">
    <dxf>
      <numFmt numFmtId="165" formatCode="0.0%"/>
    </dxf>
    <dxf>
      <numFmt numFmtId="164" formatCode="&quot;₲&quot;\ #,##0"/>
    </dxf>
    <dxf>
      <numFmt numFmtId="164" formatCode="&quot;₲&quot;\ #,##0"/>
    </dxf>
    <dxf>
      <numFmt numFmtId="164" formatCode="&quot;₲&quot;\ #,##0"/>
    </dxf>
    <dxf>
      <numFmt numFmtId="164" formatCode="&quot;₲&quot;\ #,##0"/>
    </dxf>
    <dxf>
      <numFmt numFmtId="164" formatCode="&quot;₲&quot;\ #,##0"/>
    </dxf>
    <dxf>
      <numFmt numFmtId="19" formatCode="d/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a" refreshedDate="46022.038071643517" createdVersion="8" refreshedVersion="8" minRefreshableVersion="3" recordCount="850" xr:uid="{2B2DC7F1-B2FC-4FF8-8992-BE1E48944458}">
  <cacheSource type="worksheet">
    <worksheetSource name="Tabla1"/>
  </cacheSource>
  <cacheFields count="14">
    <cacheField name="fecha" numFmtId="14">
      <sharedItems containsSemiMixedTypes="0" containsNonDate="0" containsDate="1" containsString="0" minDate="2024-01-01T00:00:00" maxDate="2024-07-01T00:00:00"/>
    </cacheField>
    <cacheField name="vendedor" numFmtId="0">
      <sharedItems count="4">
        <s v="Ana"/>
        <s v="Carlos"/>
        <s v="Luis"/>
        <s v="Marta"/>
      </sharedItems>
    </cacheField>
    <cacheField name="cliente" numFmtId="0">
      <sharedItems/>
    </cacheField>
    <cacheField name="categoria" numFmtId="0">
      <sharedItems count="5">
        <s v="Lavarropas"/>
        <s v="Pequeños electrodomésticos"/>
        <s v="Televisores"/>
        <s v="Heladeras"/>
        <s v="Aires acondicionados"/>
      </sharedItems>
    </cacheField>
    <cacheField name="nivel_producto" numFmtId="0">
      <sharedItems/>
    </cacheField>
    <cacheField name="producto" numFmtId="0">
      <sharedItems/>
    </cacheField>
    <cacheField name="cantidad" numFmtId="0">
      <sharedItems containsSemiMixedTypes="0" containsString="0" containsNumber="1" containsInteger="1" minValue="1" maxValue="3"/>
    </cacheField>
    <cacheField name="precio_unitario" numFmtId="164">
      <sharedItems containsSemiMixedTypes="0" containsString="0" containsNumber="1" containsInteger="1" minValue="160894" maxValue="9402633"/>
    </cacheField>
    <cacheField name="costo_unitario" numFmtId="164">
      <sharedItems containsSemiMixedTypes="0" containsString="0" containsNumber="1" containsInteger="1" minValue="96536" maxValue="7522106"/>
    </cacheField>
    <cacheField name="ciudad" numFmtId="0">
      <sharedItems/>
    </cacheField>
    <cacheField name="venta_total" numFmtId="164">
      <sharedItems containsSemiMixedTypes="0" containsString="0" containsNumber="1" containsInteger="1" minValue="187404" maxValue="9402633"/>
    </cacheField>
    <cacheField name="costo_total" numFmtId="164">
      <sharedItems containsSemiMixedTypes="0" containsString="0" containsNumber="1" containsInteger="1" minValue="112442" maxValue="7522106"/>
    </cacheField>
    <cacheField name="margen" numFmtId="164">
      <sharedItems containsSemiMixedTypes="0" containsString="0" containsNumber="1" containsInteger="1" minValue="74962" maxValue="1880527"/>
    </cacheField>
    <cacheField name="margen_%" numFmtId="165">
      <sharedItems containsSemiMixedTypes="0" containsString="0" containsNumber="1" minValue="0.2" maxValue="0.4000031990445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0">
  <r>
    <d v="2024-01-15T00:00:00"/>
    <x v="0"/>
    <s v="Cliente Final"/>
    <x v="0"/>
    <s v="Premium"/>
    <s v="Lavarropas Inverter"/>
    <n v="1"/>
    <n v="4377649"/>
    <n v="3502119"/>
    <s v="Asunción"/>
    <n v="4377649"/>
    <n v="3502119"/>
    <n v="875530"/>
    <n v="0.20000004568662311"/>
  </r>
  <r>
    <d v="2024-06-23T00:00:00"/>
    <x v="0"/>
    <s v="Cliente Final"/>
    <x v="0"/>
    <s v="Medio"/>
    <s v="Lavarropas Automático"/>
    <n v="1"/>
    <n v="3678354"/>
    <n v="2869116"/>
    <s v="Asunción"/>
    <n v="3678354"/>
    <n v="2869116"/>
    <n v="809238"/>
    <n v="0.22000003262328749"/>
  </r>
  <r>
    <d v="2024-04-19T00:00:00"/>
    <x v="1"/>
    <s v="Cliente Final"/>
    <x v="1"/>
    <s v="Básico"/>
    <s v="Licuadora Básica"/>
    <n v="2"/>
    <n v="323427"/>
    <n v="194056"/>
    <s v="San Lorenzo"/>
    <n v="646854"/>
    <n v="388112"/>
    <n v="258742"/>
    <n v="0.40000061837756279"/>
  </r>
  <r>
    <d v="2024-01-02T00:00:00"/>
    <x v="0"/>
    <s v="Cliente Final"/>
    <x v="2"/>
    <s v="Medio"/>
    <s v="Smart TV 50&quot;"/>
    <n v="1"/>
    <n v="1768963"/>
    <n v="1326722"/>
    <s v="Luque"/>
    <n v="1768963"/>
    <n v="1326722"/>
    <n v="442241"/>
    <n v="0.25000014132573717"/>
  </r>
  <r>
    <d v="2024-03-27T00:00:00"/>
    <x v="1"/>
    <s v="Cliente Final"/>
    <x v="0"/>
    <s v="Premium"/>
    <s v="Lavarropas Inverter"/>
    <n v="1"/>
    <n v="4567415"/>
    <n v="3653932"/>
    <s v="Asunción"/>
    <n v="4567415"/>
    <n v="3653932"/>
    <n v="913483"/>
    <n v="0.2"/>
  </r>
  <r>
    <d v="2024-04-10T00:00:00"/>
    <x v="0"/>
    <s v="Cliente Final"/>
    <x v="3"/>
    <s v="Premium"/>
    <s v="Heladera Premium 450L"/>
    <n v="1"/>
    <n v="8630046"/>
    <n v="6904036"/>
    <s v="San Lorenzo"/>
    <n v="8630046"/>
    <n v="6904036"/>
    <n v="1726010"/>
    <n v="0.20000009269939001"/>
  </r>
  <r>
    <d v="2024-05-01T00:00:00"/>
    <x v="0"/>
    <s v="Cliente Final"/>
    <x v="2"/>
    <s v="Premium"/>
    <s v="Smart TV 65&quot; 4K"/>
    <n v="1"/>
    <n v="2273453"/>
    <n v="1818762"/>
    <s v="Lambaré"/>
    <n v="2273453"/>
    <n v="1818762"/>
    <n v="454691"/>
    <n v="0.20000017594381761"/>
  </r>
  <r>
    <d v="2024-04-16T00:00:00"/>
    <x v="1"/>
    <s v="Cliente Final"/>
    <x v="2"/>
    <s v="Básico"/>
    <s v="TV LED 32&quot;"/>
    <n v="1"/>
    <n v="874293"/>
    <n v="612005"/>
    <s v="Lambaré"/>
    <n v="874293"/>
    <n v="612005"/>
    <n v="262288"/>
    <n v="0.30000011437813184"/>
  </r>
  <r>
    <d v="2024-06-22T00:00:00"/>
    <x v="0"/>
    <s v="Cliente Final"/>
    <x v="0"/>
    <s v="Premium"/>
    <s v="Lavarropas Inverter"/>
    <n v="1"/>
    <n v="5197633"/>
    <n v="4158106"/>
    <s v="San Lorenzo"/>
    <n v="5197633"/>
    <n v="4158106"/>
    <n v="1039527"/>
    <n v="0.20000007695810768"/>
  </r>
  <r>
    <d v="2024-05-31T00:00:00"/>
    <x v="0"/>
    <s v="Cliente Final"/>
    <x v="2"/>
    <s v="Medio"/>
    <s v="Smart TV 50&quot;"/>
    <n v="1"/>
    <n v="1814898"/>
    <n v="1361173"/>
    <s v="San Lorenzo"/>
    <n v="1814898"/>
    <n v="1361173"/>
    <n v="453725"/>
    <n v="0.2500002754975762"/>
  </r>
  <r>
    <d v="2024-02-24T00:00:00"/>
    <x v="1"/>
    <s v="Cliente Final"/>
    <x v="2"/>
    <s v="Premium"/>
    <s v="Smart TV 65&quot; 4K"/>
    <n v="1"/>
    <n v="2309490"/>
    <n v="1847592"/>
    <s v="Fernando de la Mora"/>
    <n v="2309490"/>
    <n v="1847592"/>
    <n v="461898"/>
    <n v="0.2"/>
  </r>
  <r>
    <d v="2024-05-07T00:00:00"/>
    <x v="1"/>
    <s v="Cliente Final"/>
    <x v="0"/>
    <s v="Premium"/>
    <s v="Lavarropas Inverter"/>
    <n v="1"/>
    <n v="4180389"/>
    <n v="3344311"/>
    <s v="Fernando de la Mora"/>
    <n v="4180389"/>
    <n v="3344311"/>
    <n v="836078"/>
    <n v="0.20000004784243763"/>
  </r>
  <r>
    <d v="2024-04-28T00:00:00"/>
    <x v="2"/>
    <s v="Cliente Final"/>
    <x v="2"/>
    <s v="Medio"/>
    <s v="Smart TV 50&quot;"/>
    <n v="1"/>
    <n v="1374630"/>
    <n v="1030972"/>
    <s v="San Lorenzo"/>
    <n v="1374630"/>
    <n v="1030972"/>
    <n v="343658"/>
    <n v="0.25000036373424123"/>
  </r>
  <r>
    <d v="2024-06-11T00:00:00"/>
    <x v="1"/>
    <s v="Cliente Final"/>
    <x v="1"/>
    <s v="Básico"/>
    <s v="Licuadora Básica"/>
    <n v="2"/>
    <n v="268157"/>
    <n v="160894"/>
    <s v="Lambaré"/>
    <n v="536314"/>
    <n v="321788"/>
    <n v="214526"/>
    <n v="0.4000007458317329"/>
  </r>
  <r>
    <d v="2024-04-12T00:00:00"/>
    <x v="1"/>
    <s v="Cliente Final"/>
    <x v="1"/>
    <s v="Premium"/>
    <s v="Procesadora Premium"/>
    <n v="2"/>
    <n v="1548544"/>
    <n v="1083980"/>
    <s v="Asunción"/>
    <n v="3097088"/>
    <n v="2167960"/>
    <n v="929128"/>
    <n v="0.30000051661431643"/>
  </r>
  <r>
    <d v="2024-06-14T00:00:00"/>
    <x v="2"/>
    <s v="Cliente Final"/>
    <x v="0"/>
    <s v="Medio"/>
    <s v="Lavarropas Automático"/>
    <n v="1"/>
    <n v="2915568"/>
    <n v="2274143"/>
    <s v="Lambaré"/>
    <n v="2915568"/>
    <n v="2274143"/>
    <n v="641425"/>
    <n v="0.22000001371945363"/>
  </r>
  <r>
    <d v="2024-04-23T00:00:00"/>
    <x v="3"/>
    <s v="Cliente Final"/>
    <x v="3"/>
    <s v="Premium"/>
    <s v="Heladera Premium 450L"/>
    <n v="1"/>
    <n v="6364408"/>
    <n v="5091526"/>
    <s v="Fernando de la Mora"/>
    <n v="6364408"/>
    <n v="5091526"/>
    <n v="1272882"/>
    <n v="0.2000000628495219"/>
  </r>
  <r>
    <d v="2024-04-16T00:00:00"/>
    <x v="2"/>
    <s v="Cliente Final"/>
    <x v="1"/>
    <s v="Básico"/>
    <s v="Licuadora Básica"/>
    <n v="2"/>
    <n v="398744"/>
    <n v="239246"/>
    <s v="San Lorenzo"/>
    <n v="797488"/>
    <n v="478492"/>
    <n v="318996"/>
    <n v="0.40000100314989068"/>
  </r>
  <r>
    <d v="2024-04-12T00:00:00"/>
    <x v="1"/>
    <s v="Cliente Final"/>
    <x v="1"/>
    <s v="Básico"/>
    <s v="Licuadora Básica"/>
    <n v="1"/>
    <n v="383977"/>
    <n v="230386"/>
    <s v="Luque"/>
    <n v="383977"/>
    <n v="230386"/>
    <n v="153591"/>
    <n v="0.40000052086453097"/>
  </r>
  <r>
    <d v="2024-06-06T00:00:00"/>
    <x v="3"/>
    <s v="Cliente Final"/>
    <x v="2"/>
    <s v="Básico"/>
    <s v="TV LED 32&quot;"/>
    <n v="1"/>
    <n v="1115370"/>
    <n v="780759"/>
    <s v="San Lorenzo"/>
    <n v="1115370"/>
    <n v="780759"/>
    <n v="334611"/>
    <n v="0.3"/>
  </r>
  <r>
    <d v="2024-05-19T00:00:00"/>
    <x v="3"/>
    <s v="Cliente Final"/>
    <x v="1"/>
    <s v="Medio"/>
    <s v="Cafetera Eléctrica"/>
    <n v="3"/>
    <n v="658355"/>
    <n v="427930"/>
    <s v="Luque"/>
    <n v="1975065"/>
    <n v="1283790"/>
    <n v="691275"/>
    <n v="0.35000113920301357"/>
  </r>
  <r>
    <d v="2024-01-21T00:00:00"/>
    <x v="0"/>
    <s v="Cliente Final"/>
    <x v="1"/>
    <s v="Básico"/>
    <s v="Licuadora Básica"/>
    <n v="1"/>
    <n v="406751"/>
    <n v="244050"/>
    <s v="Fernando de la Mora"/>
    <n v="406751"/>
    <n v="244050"/>
    <n v="162701"/>
    <n v="0.40000147510393336"/>
  </r>
  <r>
    <d v="2024-04-26T00:00:00"/>
    <x v="1"/>
    <s v="Cliente Final"/>
    <x v="3"/>
    <s v="Básico"/>
    <s v="Heladera Básica 250L"/>
    <n v="1"/>
    <n v="2148437"/>
    <n v="1611327"/>
    <s v="San Lorenzo"/>
    <n v="2148437"/>
    <n v="1611327"/>
    <n v="537110"/>
    <n v="0.25000034909099034"/>
  </r>
  <r>
    <d v="2024-05-26T00:00:00"/>
    <x v="3"/>
    <s v="Cliente Final"/>
    <x v="0"/>
    <s v="Básico"/>
    <s v="Lavarropas Semiautomático"/>
    <n v="1"/>
    <n v="1734070"/>
    <n v="1300552"/>
    <s v="Fernando de la Mora"/>
    <n v="1734070"/>
    <n v="1300552"/>
    <n v="433518"/>
    <n v="0.2500002883389944"/>
  </r>
  <r>
    <d v="2024-03-17T00:00:00"/>
    <x v="0"/>
    <s v="Cliente Final"/>
    <x v="3"/>
    <s v="Básico"/>
    <s v="Heladera Básica 250L"/>
    <n v="1"/>
    <n v="3077641"/>
    <n v="2308230"/>
    <s v="Fernando de la Mora"/>
    <n v="3077641"/>
    <n v="2308230"/>
    <n v="769411"/>
    <n v="0.25000024369314028"/>
  </r>
  <r>
    <d v="2024-06-30T00:00:00"/>
    <x v="1"/>
    <s v="Cliente Final"/>
    <x v="1"/>
    <s v="Básico"/>
    <s v="Licuadora Básica"/>
    <n v="1"/>
    <n v="467385"/>
    <n v="280431"/>
    <s v="Fernando de la Mora"/>
    <n v="467385"/>
    <n v="280431"/>
    <n v="186954"/>
    <n v="0.4"/>
  </r>
  <r>
    <d v="2024-05-13T00:00:00"/>
    <x v="0"/>
    <s v="Cliente Final"/>
    <x v="4"/>
    <s v="Medio"/>
    <s v="Split 12000 BTU"/>
    <n v="1"/>
    <n v="4466902"/>
    <n v="3350176"/>
    <s v="Asunción"/>
    <n v="4466902"/>
    <n v="3350176"/>
    <n v="1116726"/>
    <n v="0.25000011193440108"/>
  </r>
  <r>
    <d v="2024-03-02T00:00:00"/>
    <x v="0"/>
    <s v="Cliente Final"/>
    <x v="0"/>
    <s v="Básico"/>
    <s v="Lavarropas Semiautomático"/>
    <n v="1"/>
    <n v="2584646"/>
    <n v="1938484"/>
    <s v="Fernando de la Mora"/>
    <n v="2584646"/>
    <n v="1938484"/>
    <n v="646162"/>
    <n v="0.2500001934500895"/>
  </r>
  <r>
    <d v="2024-04-26T00:00:00"/>
    <x v="1"/>
    <s v="Cliente Final"/>
    <x v="3"/>
    <s v="Medio"/>
    <s v="Heladera Inverter 300L"/>
    <n v="1"/>
    <n v="3250859"/>
    <n v="2535670"/>
    <s v="Luque"/>
    <n v="3250859"/>
    <n v="2535670"/>
    <n v="715189"/>
    <n v="0.22000000615222007"/>
  </r>
  <r>
    <d v="2024-01-18T00:00:00"/>
    <x v="3"/>
    <s v="Cliente Final"/>
    <x v="2"/>
    <s v="Básico"/>
    <s v="TV LED 32&quot;"/>
    <n v="1"/>
    <n v="1011702"/>
    <n v="708191"/>
    <s v="Lambaré"/>
    <n v="1011702"/>
    <n v="708191"/>
    <n v="303511"/>
    <n v="0.30000039537334117"/>
  </r>
  <r>
    <d v="2024-01-14T00:00:00"/>
    <x v="1"/>
    <s v="Cliente Final"/>
    <x v="2"/>
    <s v="Premium"/>
    <s v="Smart TV 65&quot; 4K"/>
    <n v="1"/>
    <n v="2656085"/>
    <n v="2124868"/>
    <s v="Lambaré"/>
    <n v="2656085"/>
    <n v="2124868"/>
    <n v="531217"/>
    <n v="0.2"/>
  </r>
  <r>
    <d v="2024-01-28T00:00:00"/>
    <x v="2"/>
    <s v="Cliente Final"/>
    <x v="0"/>
    <s v="Medio"/>
    <s v="Lavarropas Automático"/>
    <n v="1"/>
    <n v="2810260"/>
    <n v="2192002"/>
    <s v="Luque"/>
    <n v="2810260"/>
    <n v="2192002"/>
    <n v="618258"/>
    <n v="0.22000028467116922"/>
  </r>
  <r>
    <d v="2024-06-24T00:00:00"/>
    <x v="1"/>
    <s v="Cliente Final"/>
    <x v="4"/>
    <s v="Premium"/>
    <s v="Split Inverter"/>
    <n v="1"/>
    <n v="6282308"/>
    <n v="5025846"/>
    <s v="Lambaré"/>
    <n v="6282308"/>
    <n v="5025846"/>
    <n v="1256462"/>
    <n v="0.20000006367086745"/>
  </r>
  <r>
    <d v="2024-01-07T00:00:00"/>
    <x v="0"/>
    <s v="Cliente Final"/>
    <x v="4"/>
    <s v="Premium"/>
    <s v="Split Inverter"/>
    <n v="1"/>
    <n v="8130186"/>
    <n v="6504148"/>
    <s v="Asunción"/>
    <n v="8130186"/>
    <n v="6504148"/>
    <n v="1626038"/>
    <n v="0.20000009839873281"/>
  </r>
  <r>
    <d v="2024-06-07T00:00:00"/>
    <x v="3"/>
    <s v="Cliente Final"/>
    <x v="0"/>
    <s v="Premium"/>
    <s v="Lavarropas Inverter"/>
    <n v="1"/>
    <n v="4447529"/>
    <n v="3558023"/>
    <s v="San Lorenzo"/>
    <n v="4447529"/>
    <n v="3558023"/>
    <n v="889506"/>
    <n v="0.20000004496879054"/>
  </r>
  <r>
    <d v="2024-06-09T00:00:00"/>
    <x v="1"/>
    <s v="Cliente Final"/>
    <x v="3"/>
    <s v="Medio"/>
    <s v="Heladera Inverter 300L"/>
    <n v="1"/>
    <n v="4772257"/>
    <n v="3722360"/>
    <s v="Luque"/>
    <n v="4772257"/>
    <n v="3722360"/>
    <n v="1049897"/>
    <n v="0.22000009639045004"/>
  </r>
  <r>
    <d v="2024-04-08T00:00:00"/>
    <x v="1"/>
    <s v="Cliente Final"/>
    <x v="4"/>
    <s v="Medio"/>
    <s v="Split 12000 BTU"/>
    <n v="1"/>
    <n v="3866770"/>
    <n v="2900077"/>
    <s v="Lambaré"/>
    <n v="3866770"/>
    <n v="2900077"/>
    <n v="966693"/>
    <n v="0.2500001293068892"/>
  </r>
  <r>
    <d v="2024-04-30T00:00:00"/>
    <x v="0"/>
    <s v="Cliente Final"/>
    <x v="1"/>
    <s v="Medio"/>
    <s v="Cafetera Eléctrica"/>
    <n v="1"/>
    <n v="965656"/>
    <n v="627676"/>
    <s v="Fernando de la Mora"/>
    <n v="965656"/>
    <n v="627676"/>
    <n v="337980"/>
    <n v="0.35000041422618405"/>
  </r>
  <r>
    <d v="2024-06-07T00:00:00"/>
    <x v="3"/>
    <s v="Cliente Final"/>
    <x v="1"/>
    <s v="Medio"/>
    <s v="Cafetera Eléctrica"/>
    <n v="1"/>
    <n v="1106805"/>
    <n v="719423"/>
    <s v="Asunción"/>
    <n v="1106805"/>
    <n v="719423"/>
    <n v="387382"/>
    <n v="0.35000022587538004"/>
  </r>
  <r>
    <d v="2024-01-31T00:00:00"/>
    <x v="0"/>
    <s v="Cliente Final"/>
    <x v="0"/>
    <s v="Básico"/>
    <s v="Lavarropas Semiautomático"/>
    <n v="1"/>
    <n v="1800593"/>
    <n v="1350444"/>
    <s v="Luque"/>
    <n v="1800593"/>
    <n v="1350444"/>
    <n v="450149"/>
    <n v="0.25000041652944338"/>
  </r>
  <r>
    <d v="2024-04-05T00:00:00"/>
    <x v="0"/>
    <s v="Cliente Final"/>
    <x v="4"/>
    <s v="Medio"/>
    <s v="Split 12000 BTU"/>
    <n v="1"/>
    <n v="4309639"/>
    <n v="3232229"/>
    <s v="Fernando de la Mora"/>
    <n v="4309639"/>
    <n v="3232229"/>
    <n v="1077410"/>
    <n v="0.25000005800949915"/>
  </r>
  <r>
    <d v="2024-03-16T00:00:00"/>
    <x v="2"/>
    <s v="Cliente Final"/>
    <x v="2"/>
    <s v="Medio"/>
    <s v="Smart TV 50&quot;"/>
    <n v="1"/>
    <n v="1442039"/>
    <n v="1081529"/>
    <s v="Asunción"/>
    <n v="1442039"/>
    <n v="1081529"/>
    <n v="360510"/>
    <n v="0.25000017336563018"/>
  </r>
  <r>
    <d v="2024-02-10T00:00:00"/>
    <x v="1"/>
    <s v="Cliente Final"/>
    <x v="4"/>
    <s v="Premium"/>
    <s v="Split Inverter"/>
    <n v="1"/>
    <n v="8432071"/>
    <n v="6745656"/>
    <s v="San Lorenzo"/>
    <n v="8432071"/>
    <n v="6745656"/>
    <n v="1686415"/>
    <n v="0.20000009487586146"/>
  </r>
  <r>
    <d v="2024-05-04T00:00:00"/>
    <x v="3"/>
    <s v="Cliente Final"/>
    <x v="4"/>
    <s v="Básico"/>
    <s v="Aire Ventana"/>
    <n v="1"/>
    <n v="2641686"/>
    <n v="1902013"/>
    <s v="Lambaré"/>
    <n v="2641686"/>
    <n v="1902013"/>
    <n v="739673"/>
    <n v="0.28000034826243542"/>
  </r>
  <r>
    <d v="2024-03-24T00:00:00"/>
    <x v="1"/>
    <s v="Cliente Final"/>
    <x v="0"/>
    <s v="Básico"/>
    <s v="Lavarropas Semiautomático"/>
    <n v="1"/>
    <n v="1964924"/>
    <n v="1473693"/>
    <s v="Asunción"/>
    <n v="1964924"/>
    <n v="1473693"/>
    <n v="491231"/>
    <n v="0.25"/>
  </r>
  <r>
    <d v="2024-02-27T00:00:00"/>
    <x v="3"/>
    <s v="Cliente Final"/>
    <x v="0"/>
    <s v="Premium"/>
    <s v="Lavarropas Inverter"/>
    <n v="1"/>
    <n v="4722516"/>
    <n v="3778012"/>
    <s v="Asunción"/>
    <n v="4722516"/>
    <n v="3778012"/>
    <n v="944504"/>
    <n v="0.20000016940122595"/>
  </r>
  <r>
    <d v="2024-05-23T00:00:00"/>
    <x v="0"/>
    <s v="Cliente Final"/>
    <x v="1"/>
    <s v="Medio"/>
    <s v="Cafetera Eléctrica"/>
    <n v="3"/>
    <n v="1164980"/>
    <n v="757237"/>
    <s v="Lambaré"/>
    <n v="3494940"/>
    <n v="2271711"/>
    <n v="1223229"/>
    <n v="0.35"/>
  </r>
  <r>
    <d v="2024-01-23T00:00:00"/>
    <x v="1"/>
    <s v="Cliente Final"/>
    <x v="3"/>
    <s v="Básico"/>
    <s v="Heladera Básica 250L"/>
    <n v="1"/>
    <n v="2672303"/>
    <n v="2004227"/>
    <s v="Fernando de la Mora"/>
    <n v="2672303"/>
    <n v="2004227"/>
    <n v="668076"/>
    <n v="0.2500000935522656"/>
  </r>
  <r>
    <d v="2024-05-09T00:00:00"/>
    <x v="2"/>
    <s v="Cliente Final"/>
    <x v="3"/>
    <s v="Medio"/>
    <s v="Heladera Inverter 300L"/>
    <n v="1"/>
    <n v="4028680"/>
    <n v="3142370"/>
    <s v="Luque"/>
    <n v="4028680"/>
    <n v="3142370"/>
    <n v="886310"/>
    <n v="0.22000009928810429"/>
  </r>
  <r>
    <d v="2024-03-20T00:00:00"/>
    <x v="3"/>
    <s v="Cliente Final"/>
    <x v="3"/>
    <s v="Básico"/>
    <s v="Heladera Básica 250L"/>
    <n v="1"/>
    <n v="2752095"/>
    <n v="2064071"/>
    <s v="San Lorenzo"/>
    <n v="2752095"/>
    <n v="2064071"/>
    <n v="688024"/>
    <n v="0.25000009083988745"/>
  </r>
  <r>
    <d v="2024-03-12T00:00:00"/>
    <x v="0"/>
    <s v="Cliente Final"/>
    <x v="4"/>
    <s v="Básico"/>
    <s v="Aire Ventana"/>
    <n v="1"/>
    <n v="2710709"/>
    <n v="1951710"/>
    <s v="Luque"/>
    <n v="2710709"/>
    <n v="1951710"/>
    <n v="758999"/>
    <n v="0.28000017707544411"/>
  </r>
  <r>
    <d v="2024-02-17T00:00:00"/>
    <x v="1"/>
    <s v="Cliente Final"/>
    <x v="3"/>
    <s v="Medio"/>
    <s v="Heladera Inverter 300L"/>
    <n v="1"/>
    <n v="4125419"/>
    <n v="3217826"/>
    <s v="Luque"/>
    <n v="4125419"/>
    <n v="3217826"/>
    <n v="907593"/>
    <n v="0.22000019876768881"/>
  </r>
  <r>
    <d v="2024-01-08T00:00:00"/>
    <x v="2"/>
    <s v="Cliente Final"/>
    <x v="3"/>
    <s v="Medio"/>
    <s v="Heladera Inverter 300L"/>
    <n v="1"/>
    <n v="3516103"/>
    <n v="2742560"/>
    <s v="Luque"/>
    <n v="3516103"/>
    <n v="2742560"/>
    <n v="773543"/>
    <n v="0.22000009669796364"/>
  </r>
  <r>
    <d v="2024-02-06T00:00:00"/>
    <x v="1"/>
    <s v="Cliente Final"/>
    <x v="3"/>
    <s v="Básico"/>
    <s v="Heladera Básica 250L"/>
    <n v="1"/>
    <n v="2925739"/>
    <n v="2194304"/>
    <s v="Lambaré"/>
    <n v="2925739"/>
    <n v="2194304"/>
    <n v="731435"/>
    <n v="0.25000008544849694"/>
  </r>
  <r>
    <d v="2024-04-21T00:00:00"/>
    <x v="1"/>
    <s v="Cliente Final"/>
    <x v="2"/>
    <s v="Premium"/>
    <s v="Smart TV 65&quot; 4K"/>
    <n v="1"/>
    <n v="2846231"/>
    <n v="2276984"/>
    <s v="San Lorenzo"/>
    <n v="2846231"/>
    <n v="2276984"/>
    <n v="569247"/>
    <n v="0.20000028107346171"/>
  </r>
  <r>
    <d v="2024-01-30T00:00:00"/>
    <x v="0"/>
    <s v="Cliente Final"/>
    <x v="3"/>
    <s v="Premium"/>
    <s v="Heladera Premium 450L"/>
    <n v="1"/>
    <n v="9402633"/>
    <n v="7522106"/>
    <s v="Asunción"/>
    <n v="9402633"/>
    <n v="7522106"/>
    <n v="1880527"/>
    <n v="0.2000000425412754"/>
  </r>
  <r>
    <d v="2024-02-01T00:00:00"/>
    <x v="1"/>
    <s v="Cliente Final"/>
    <x v="4"/>
    <s v="Medio"/>
    <s v="Split 12000 BTU"/>
    <n v="1"/>
    <n v="5393310"/>
    <n v="4044982"/>
    <s v="Fernando de la Mora"/>
    <n v="5393310"/>
    <n v="4044982"/>
    <n v="1348328"/>
    <n v="0.25000009270744683"/>
  </r>
  <r>
    <d v="2024-05-18T00:00:00"/>
    <x v="3"/>
    <s v="Cliente Final"/>
    <x v="1"/>
    <s v="Medio"/>
    <s v="Cafetera Eléctrica"/>
    <n v="3"/>
    <n v="1013937"/>
    <n v="659059"/>
    <s v="Lambaré"/>
    <n v="3041811"/>
    <n v="1977177"/>
    <n v="1064634"/>
    <n v="0.35000004931272849"/>
  </r>
  <r>
    <d v="2024-06-26T00:00:00"/>
    <x v="3"/>
    <s v="Cliente Final"/>
    <x v="3"/>
    <s v="Medio"/>
    <s v="Heladera Inverter 300L"/>
    <n v="1"/>
    <n v="3825536"/>
    <n v="2983918"/>
    <s v="San Lorenzo"/>
    <n v="3825536"/>
    <n v="2983918"/>
    <n v="841618"/>
    <n v="0.22000002091210225"/>
  </r>
  <r>
    <d v="2024-04-02T00:00:00"/>
    <x v="2"/>
    <s v="Cliente Final"/>
    <x v="0"/>
    <s v="Básico"/>
    <s v="Lavarropas Semiautomático"/>
    <n v="1"/>
    <n v="1764389"/>
    <n v="1323291"/>
    <s v="Asunción"/>
    <n v="1764389"/>
    <n v="1323291"/>
    <n v="441098"/>
    <n v="0.25000042507632952"/>
  </r>
  <r>
    <d v="2024-04-14T00:00:00"/>
    <x v="3"/>
    <s v="Cliente Final"/>
    <x v="3"/>
    <s v="Premium"/>
    <s v="Heladera Premium 450L"/>
    <n v="1"/>
    <n v="8350531"/>
    <n v="6680424"/>
    <s v="San Lorenzo"/>
    <n v="8350531"/>
    <n v="6680424"/>
    <n v="1670107"/>
    <n v="0.20000009580229089"/>
  </r>
  <r>
    <d v="2024-06-05T00:00:00"/>
    <x v="2"/>
    <s v="Cliente Final"/>
    <x v="4"/>
    <s v="Premium"/>
    <s v="Split Inverter"/>
    <n v="1"/>
    <n v="8279118"/>
    <n v="6623294"/>
    <s v="Asunción"/>
    <n v="8279118"/>
    <n v="6623294"/>
    <n v="1655824"/>
    <n v="0.20000004831432527"/>
  </r>
  <r>
    <d v="2024-01-19T00:00:00"/>
    <x v="2"/>
    <s v="Cliente Final"/>
    <x v="2"/>
    <s v="Básico"/>
    <s v="TV LED 32&quot;"/>
    <n v="1"/>
    <n v="1242655"/>
    <n v="869858"/>
    <s v="Lambaré"/>
    <n v="1242655"/>
    <n v="869858"/>
    <n v="372797"/>
    <n v="0.3000004023642926"/>
  </r>
  <r>
    <d v="2024-03-31T00:00:00"/>
    <x v="0"/>
    <s v="Cliente Final"/>
    <x v="0"/>
    <s v="Medio"/>
    <s v="Lavarropas Automático"/>
    <n v="1"/>
    <n v="3492281"/>
    <n v="2723979"/>
    <s v="Fernando de la Mora"/>
    <n v="3492281"/>
    <n v="2723979"/>
    <n v="768302"/>
    <n v="0.22000005154224417"/>
  </r>
  <r>
    <d v="2024-04-20T00:00:00"/>
    <x v="2"/>
    <s v="Cliente Final"/>
    <x v="1"/>
    <s v="Básico"/>
    <s v="Licuadora Básica"/>
    <n v="2"/>
    <n v="291916"/>
    <n v="175149"/>
    <s v="Lambaré"/>
    <n v="583832"/>
    <n v="350298"/>
    <n v="233534"/>
    <n v="0.40000205538579592"/>
  </r>
  <r>
    <d v="2024-04-11T00:00:00"/>
    <x v="1"/>
    <s v="Cliente Final"/>
    <x v="0"/>
    <s v="Medio"/>
    <s v="Lavarropas Automático"/>
    <n v="1"/>
    <n v="3612599"/>
    <n v="2817827"/>
    <s v="Lambaré"/>
    <n v="3612599"/>
    <n v="2817827"/>
    <n v="794772"/>
    <n v="0.22000006089798507"/>
  </r>
  <r>
    <d v="2024-05-24T00:00:00"/>
    <x v="2"/>
    <s v="Cliente Final"/>
    <x v="0"/>
    <s v="Premium"/>
    <s v="Lavarropas Inverter"/>
    <n v="1"/>
    <n v="5142986"/>
    <n v="4114388"/>
    <s v="Fernando de la Mora"/>
    <n v="5142986"/>
    <n v="4114388"/>
    <n v="1028598"/>
    <n v="0.20000015555165812"/>
  </r>
  <r>
    <d v="2024-02-22T00:00:00"/>
    <x v="2"/>
    <s v="Cliente Final"/>
    <x v="0"/>
    <s v="Medio"/>
    <s v="Lavarropas Automático"/>
    <n v="1"/>
    <n v="2857289"/>
    <n v="2228685"/>
    <s v="Fernando de la Mora"/>
    <n v="2857289"/>
    <n v="2228685"/>
    <n v="628604"/>
    <n v="0.22000014699248133"/>
  </r>
  <r>
    <d v="2024-03-24T00:00:00"/>
    <x v="3"/>
    <s v="Cliente Final"/>
    <x v="2"/>
    <s v="Medio"/>
    <s v="Smart TV 50&quot;"/>
    <n v="1"/>
    <n v="1400012"/>
    <n v="1050009"/>
    <s v="Fernando de la Mora"/>
    <n v="1400012"/>
    <n v="1050009"/>
    <n v="350003"/>
    <n v="0.25"/>
  </r>
  <r>
    <d v="2024-01-27T00:00:00"/>
    <x v="0"/>
    <s v="Cliente Final"/>
    <x v="4"/>
    <s v="Medio"/>
    <s v="Split 12000 BTU"/>
    <n v="1"/>
    <n v="4996432"/>
    <n v="3747324"/>
    <s v="Asunción"/>
    <n v="4996432"/>
    <n v="3747324"/>
    <n v="1249108"/>
    <n v="0.25"/>
  </r>
  <r>
    <d v="2024-05-22T00:00:00"/>
    <x v="1"/>
    <s v="Cliente Final"/>
    <x v="1"/>
    <s v="Básico"/>
    <s v="Licuadora Básica"/>
    <n v="2"/>
    <n v="570002"/>
    <n v="342001"/>
    <s v="Lambaré"/>
    <n v="1140004"/>
    <n v="684002"/>
    <n v="456002"/>
    <n v="0.40000035087596186"/>
  </r>
  <r>
    <d v="2024-04-07T00:00:00"/>
    <x v="1"/>
    <s v="Cliente Final"/>
    <x v="4"/>
    <s v="Premium"/>
    <s v="Split Inverter"/>
    <n v="1"/>
    <n v="7631565"/>
    <n v="6105252"/>
    <s v="San Lorenzo"/>
    <n v="7631565"/>
    <n v="6105252"/>
    <n v="1526313"/>
    <n v="0.2"/>
  </r>
  <r>
    <d v="2024-02-14T00:00:00"/>
    <x v="1"/>
    <s v="Cliente Final"/>
    <x v="0"/>
    <s v="Medio"/>
    <s v="Lavarropas Automático"/>
    <n v="1"/>
    <n v="3027036"/>
    <n v="2361088"/>
    <s v="Asunción"/>
    <n v="3027036"/>
    <n v="2361088"/>
    <n v="665948"/>
    <n v="0.22000002642849309"/>
  </r>
  <r>
    <d v="2024-01-26T00:00:00"/>
    <x v="3"/>
    <s v="Cliente Final"/>
    <x v="3"/>
    <s v="Premium"/>
    <s v="Heladera Premium 450L"/>
    <n v="1"/>
    <n v="9153598"/>
    <n v="7322878"/>
    <s v="Lambaré"/>
    <n v="9153598"/>
    <n v="7322878"/>
    <n v="1830720"/>
    <n v="0.20000004369866364"/>
  </r>
  <r>
    <d v="2024-04-16T00:00:00"/>
    <x v="0"/>
    <s v="Cliente Final"/>
    <x v="0"/>
    <s v="Medio"/>
    <s v="Lavarropas Automático"/>
    <n v="1"/>
    <n v="3795070"/>
    <n v="2960154"/>
    <s v="Lambaré"/>
    <n v="3795070"/>
    <n v="2960154"/>
    <n v="834916"/>
    <n v="0.2200001580998506"/>
  </r>
  <r>
    <d v="2024-05-24T00:00:00"/>
    <x v="2"/>
    <s v="Cliente Final"/>
    <x v="1"/>
    <s v="Premium"/>
    <s v="Procesadora Premium"/>
    <n v="1"/>
    <n v="1297715"/>
    <n v="908400"/>
    <s v="Luque"/>
    <n v="1297715"/>
    <n v="908400"/>
    <n v="389315"/>
    <n v="0.30000038529261047"/>
  </r>
  <r>
    <d v="2024-01-07T00:00:00"/>
    <x v="1"/>
    <s v="Cliente Final"/>
    <x v="4"/>
    <s v="Básico"/>
    <s v="Aire Ventana"/>
    <n v="1"/>
    <n v="2217250"/>
    <n v="1596420"/>
    <s v="Fernando de la Mora"/>
    <n v="2217250"/>
    <n v="1596420"/>
    <n v="620830"/>
    <n v="0.28000000000000003"/>
  </r>
  <r>
    <d v="2024-03-13T00:00:00"/>
    <x v="2"/>
    <s v="Cliente Final"/>
    <x v="0"/>
    <s v="Básico"/>
    <s v="Lavarropas Semiautomático"/>
    <n v="1"/>
    <n v="1802397"/>
    <n v="1351797"/>
    <s v="Asunción"/>
    <n v="1802397"/>
    <n v="1351797"/>
    <n v="450600"/>
    <n v="0.25000041611254348"/>
  </r>
  <r>
    <d v="2024-02-04T00:00:00"/>
    <x v="1"/>
    <s v="Cliente Final"/>
    <x v="2"/>
    <s v="Medio"/>
    <s v="Smart TV 50&quot;"/>
    <n v="1"/>
    <n v="1334421"/>
    <n v="1000815"/>
    <s v="Asunción"/>
    <n v="1334421"/>
    <n v="1000815"/>
    <n v="333606"/>
    <n v="0.25000056204151461"/>
  </r>
  <r>
    <d v="2024-04-29T00:00:00"/>
    <x v="2"/>
    <s v="Cliente Final"/>
    <x v="4"/>
    <s v="Medio"/>
    <s v="Split 12000 BTU"/>
    <n v="1"/>
    <n v="5492161"/>
    <n v="4119120"/>
    <s v="Fernando de la Mora"/>
    <n v="5492161"/>
    <n v="4119120"/>
    <n v="1373041"/>
    <n v="0.25000013655826914"/>
  </r>
  <r>
    <d v="2024-06-19T00:00:00"/>
    <x v="1"/>
    <s v="Cliente Final"/>
    <x v="3"/>
    <s v="Premium"/>
    <s v="Heladera Premium 450L"/>
    <n v="1"/>
    <n v="9203749"/>
    <n v="7362999"/>
    <s v="Fernando de la Mora"/>
    <n v="9203749"/>
    <n v="7362999"/>
    <n v="1840750"/>
    <n v="0.20000002173027534"/>
  </r>
  <r>
    <d v="2024-02-10T00:00:00"/>
    <x v="1"/>
    <s v="Cliente Final"/>
    <x v="3"/>
    <s v="Medio"/>
    <s v="Heladera Inverter 300L"/>
    <n v="1"/>
    <n v="4359402"/>
    <n v="3400333"/>
    <s v="Luque"/>
    <n v="4359402"/>
    <n v="3400333"/>
    <n v="959069"/>
    <n v="0.22000012845798575"/>
  </r>
  <r>
    <d v="2024-05-05T00:00:00"/>
    <x v="2"/>
    <s v="Cliente Final"/>
    <x v="2"/>
    <s v="Premium"/>
    <s v="Smart TV 65&quot; 4K"/>
    <n v="1"/>
    <n v="3333559"/>
    <n v="2666847"/>
    <s v="San Lorenzo"/>
    <n v="3333559"/>
    <n v="2666847"/>
    <n v="666712"/>
    <n v="0.20000005999593828"/>
  </r>
  <r>
    <d v="2024-02-01T00:00:00"/>
    <x v="2"/>
    <s v="Cliente Final"/>
    <x v="2"/>
    <s v="Básico"/>
    <s v="TV LED 32&quot;"/>
    <n v="1"/>
    <n v="920581"/>
    <n v="644406"/>
    <s v="Fernando de la Mora"/>
    <n v="920581"/>
    <n v="644406"/>
    <n v="276175"/>
    <n v="0.3000007603893628"/>
  </r>
  <r>
    <d v="2024-05-23T00:00:00"/>
    <x v="1"/>
    <s v="Cliente Final"/>
    <x v="4"/>
    <s v="Básico"/>
    <s v="Aire Ventana"/>
    <n v="1"/>
    <n v="3015635"/>
    <n v="2171257"/>
    <s v="San Lorenzo"/>
    <n v="3015635"/>
    <n v="2171257"/>
    <n v="844378"/>
    <n v="0.28000006632102359"/>
  </r>
  <r>
    <d v="2024-03-16T00:00:00"/>
    <x v="3"/>
    <s v="Cliente Final"/>
    <x v="2"/>
    <s v="Básico"/>
    <s v="TV LED 32&quot;"/>
    <n v="1"/>
    <n v="819521"/>
    <n v="573664"/>
    <s v="Luque"/>
    <n v="819521"/>
    <n v="573664"/>
    <n v="245857"/>
    <n v="0.30000085415748956"/>
  </r>
  <r>
    <d v="2024-06-20T00:00:00"/>
    <x v="0"/>
    <s v="Cliente Final"/>
    <x v="3"/>
    <s v="Medio"/>
    <s v="Heladera Inverter 300L"/>
    <n v="1"/>
    <n v="3954205"/>
    <n v="3084279"/>
    <s v="Lambaré"/>
    <n v="3954205"/>
    <n v="3084279"/>
    <n v="869926"/>
    <n v="0.22000022760580193"/>
  </r>
  <r>
    <d v="2024-06-14T00:00:00"/>
    <x v="2"/>
    <s v="Cliente Final"/>
    <x v="2"/>
    <s v="Básico"/>
    <s v="TV LED 32&quot;"/>
    <n v="1"/>
    <n v="1116375"/>
    <n v="781462"/>
    <s v="Luque"/>
    <n v="1116375"/>
    <n v="781462"/>
    <n v="334913"/>
    <n v="0.30000044787817715"/>
  </r>
  <r>
    <d v="2024-01-09T00:00:00"/>
    <x v="1"/>
    <s v="Cliente Final"/>
    <x v="2"/>
    <s v="Medio"/>
    <s v="Smart TV 50&quot;"/>
    <n v="1"/>
    <n v="1676889"/>
    <n v="1257666"/>
    <s v="Fernando de la Mora"/>
    <n v="1676889"/>
    <n v="1257666"/>
    <n v="419223"/>
    <n v="0.25000044725679516"/>
  </r>
  <r>
    <d v="2024-01-11T00:00:00"/>
    <x v="0"/>
    <s v="Cliente Final"/>
    <x v="4"/>
    <s v="Básico"/>
    <s v="Aire Ventana"/>
    <n v="1"/>
    <n v="2357387"/>
    <n v="1697318"/>
    <s v="San Lorenzo"/>
    <n v="2357387"/>
    <n v="1697318"/>
    <n v="660069"/>
    <n v="0.28000027148703205"/>
  </r>
  <r>
    <d v="2024-04-09T00:00:00"/>
    <x v="1"/>
    <s v="Cliente Final"/>
    <x v="2"/>
    <s v="Medio"/>
    <s v="Smart TV 50&quot;"/>
    <n v="1"/>
    <n v="1573191"/>
    <n v="1179893"/>
    <s v="Lambaré"/>
    <n v="1573191"/>
    <n v="1179893"/>
    <n v="393298"/>
    <n v="0.25000015891268129"/>
  </r>
  <r>
    <d v="2024-05-02T00:00:00"/>
    <x v="3"/>
    <s v="Cliente Final"/>
    <x v="1"/>
    <s v="Medio"/>
    <s v="Cafetera Eléctrica"/>
    <n v="1"/>
    <n v="891541"/>
    <n v="579501"/>
    <s v="San Lorenzo"/>
    <n v="891541"/>
    <n v="579501"/>
    <n v="312040"/>
    <n v="0.35000072907471447"/>
  </r>
  <r>
    <d v="2024-03-21T00:00:00"/>
    <x v="3"/>
    <s v="Cliente Final"/>
    <x v="3"/>
    <s v="Premium"/>
    <s v="Heladera Premium 450L"/>
    <n v="1"/>
    <n v="5849856"/>
    <n v="4679884"/>
    <s v="Fernando de la Mora"/>
    <n v="5849856"/>
    <n v="4679884"/>
    <n v="1169972"/>
    <n v="0.20000013675550304"/>
  </r>
  <r>
    <d v="2024-03-28T00:00:00"/>
    <x v="0"/>
    <s v="Cliente Final"/>
    <x v="1"/>
    <s v="Premium"/>
    <s v="Procesadora Premium"/>
    <n v="3"/>
    <n v="1415831"/>
    <n v="991081"/>
    <s v="Asunción"/>
    <n v="4247493"/>
    <n v="2973243"/>
    <n v="1274250"/>
    <n v="0.30000049440929039"/>
  </r>
  <r>
    <d v="2024-03-09T00:00:00"/>
    <x v="1"/>
    <s v="Cliente Final"/>
    <x v="3"/>
    <s v="Medio"/>
    <s v="Heladera Inverter 300L"/>
    <n v="1"/>
    <n v="3272391"/>
    <n v="2552464"/>
    <s v="San Lorenzo"/>
    <n v="3272391"/>
    <n v="2552464"/>
    <n v="719927"/>
    <n v="0.22000029947521552"/>
  </r>
  <r>
    <d v="2024-01-23T00:00:00"/>
    <x v="1"/>
    <s v="Cliente Final"/>
    <x v="4"/>
    <s v="Premium"/>
    <s v="Split Inverter"/>
    <n v="1"/>
    <n v="6970677"/>
    <n v="5576541"/>
    <s v="Lambaré"/>
    <n v="6970677"/>
    <n v="5576541"/>
    <n v="1394136"/>
    <n v="0.20000008607485328"/>
  </r>
  <r>
    <d v="2024-03-08T00:00:00"/>
    <x v="1"/>
    <s v="Cliente Final"/>
    <x v="2"/>
    <s v="Básico"/>
    <s v="TV LED 32&quot;"/>
    <n v="1"/>
    <n v="925750"/>
    <n v="648025"/>
    <s v="Asunción"/>
    <n v="925750"/>
    <n v="648025"/>
    <n v="277725"/>
    <n v="0.3"/>
  </r>
  <r>
    <d v="2024-06-01T00:00:00"/>
    <x v="3"/>
    <s v="Cliente Final"/>
    <x v="4"/>
    <s v="Básico"/>
    <s v="Aire Ventana"/>
    <n v="1"/>
    <n v="3249673"/>
    <n v="2339764"/>
    <s v="Luque"/>
    <n v="3249673"/>
    <n v="2339764"/>
    <n v="909909"/>
    <n v="0.28000017232503088"/>
  </r>
  <r>
    <d v="2024-02-20T00:00:00"/>
    <x v="1"/>
    <s v="Cliente Final"/>
    <x v="2"/>
    <s v="Premium"/>
    <s v="Smart TV 65&quot; 4K"/>
    <n v="1"/>
    <n v="2052427"/>
    <n v="1641941"/>
    <s v="Lambaré"/>
    <n v="2052427"/>
    <n v="1641941"/>
    <n v="410486"/>
    <n v="0.20000029233682853"/>
  </r>
  <r>
    <d v="2024-04-05T00:00:00"/>
    <x v="0"/>
    <s v="Cliente Final"/>
    <x v="4"/>
    <s v="Básico"/>
    <s v="Aire Ventana"/>
    <n v="1"/>
    <n v="3064641"/>
    <n v="2206541"/>
    <s v="Asunción"/>
    <n v="3064641"/>
    <n v="2206541"/>
    <n v="858100"/>
    <n v="0.28000016967729663"/>
  </r>
  <r>
    <d v="2024-01-17T00:00:00"/>
    <x v="0"/>
    <s v="Cliente Final"/>
    <x v="3"/>
    <s v="Básico"/>
    <s v="Heladera Básica 250L"/>
    <n v="1"/>
    <n v="2138452"/>
    <n v="1603839"/>
    <s v="Luque"/>
    <n v="2138452"/>
    <n v="1603839"/>
    <n v="534613"/>
    <n v="0.25"/>
  </r>
  <r>
    <d v="2024-04-14T00:00:00"/>
    <x v="2"/>
    <s v="Cliente Final"/>
    <x v="0"/>
    <s v="Básico"/>
    <s v="Lavarropas Semiautomático"/>
    <n v="1"/>
    <n v="2602619"/>
    <n v="1951964"/>
    <s v="San Lorenzo"/>
    <n v="2602619"/>
    <n v="1951964"/>
    <n v="650655"/>
    <n v="0.25000009605708712"/>
  </r>
  <r>
    <d v="2024-05-14T00:00:00"/>
    <x v="0"/>
    <s v="Cliente Final"/>
    <x v="3"/>
    <s v="Básico"/>
    <s v="Heladera Básica 250L"/>
    <n v="1"/>
    <n v="2062720"/>
    <n v="1547040"/>
    <s v="Lambaré"/>
    <n v="2062720"/>
    <n v="1547040"/>
    <n v="515680"/>
    <n v="0.25"/>
  </r>
  <r>
    <d v="2024-03-20T00:00:00"/>
    <x v="0"/>
    <s v="Cliente Final"/>
    <x v="3"/>
    <s v="Premium"/>
    <s v="Heladera Premium 450L"/>
    <n v="1"/>
    <n v="9255691"/>
    <n v="7404552"/>
    <s v="Asunción"/>
    <n v="9255691"/>
    <n v="7404552"/>
    <n v="1851139"/>
    <n v="0.20000008643330897"/>
  </r>
  <r>
    <d v="2024-04-27T00:00:00"/>
    <x v="1"/>
    <s v="Cliente Final"/>
    <x v="1"/>
    <s v="Medio"/>
    <s v="Cafetera Eléctrica"/>
    <n v="1"/>
    <n v="1098326"/>
    <n v="713911"/>
    <s v="San Lorenzo"/>
    <n v="1098326"/>
    <n v="713911"/>
    <n v="384415"/>
    <n v="0.35000081942883987"/>
  </r>
  <r>
    <d v="2024-01-03T00:00:00"/>
    <x v="3"/>
    <s v="Cliente Final"/>
    <x v="4"/>
    <s v="Medio"/>
    <s v="Split 12000 BTU"/>
    <n v="1"/>
    <n v="5867915"/>
    <n v="4400936"/>
    <s v="Asunción"/>
    <n v="5867915"/>
    <n v="4400936"/>
    <n v="1466979"/>
    <n v="0.25000004260457082"/>
  </r>
  <r>
    <d v="2024-02-24T00:00:00"/>
    <x v="1"/>
    <s v="Cliente Final"/>
    <x v="1"/>
    <s v="Medio"/>
    <s v="Cafetera Eléctrica"/>
    <n v="2"/>
    <n v="798276"/>
    <n v="518879"/>
    <s v="Luque"/>
    <n v="1596552"/>
    <n v="1037758"/>
    <n v="558794"/>
    <n v="0.35000050107982705"/>
  </r>
  <r>
    <d v="2024-04-22T00:00:00"/>
    <x v="3"/>
    <s v="Cliente Final"/>
    <x v="4"/>
    <s v="Medio"/>
    <s v="Split 12000 BTU"/>
    <n v="1"/>
    <n v="5327349"/>
    <n v="3995511"/>
    <s v="Lambaré"/>
    <n v="5327349"/>
    <n v="3995511"/>
    <n v="1331838"/>
    <n v="0.25000014078296728"/>
  </r>
  <r>
    <d v="2024-06-08T00:00:00"/>
    <x v="1"/>
    <s v="Cliente Final"/>
    <x v="4"/>
    <s v="Premium"/>
    <s v="Split Inverter"/>
    <n v="1"/>
    <n v="6604772"/>
    <n v="5283817"/>
    <s v="Lambaré"/>
    <n v="6604772"/>
    <n v="5283817"/>
    <n v="1320955"/>
    <n v="0.20000009084340836"/>
  </r>
  <r>
    <d v="2024-06-24T00:00:00"/>
    <x v="3"/>
    <s v="Cliente Final"/>
    <x v="2"/>
    <s v="Básico"/>
    <s v="TV LED 32&quot;"/>
    <n v="1"/>
    <n v="901060"/>
    <n v="630742"/>
    <s v="Luque"/>
    <n v="901060"/>
    <n v="630742"/>
    <n v="270318"/>
    <n v="0.3"/>
  </r>
  <r>
    <d v="2024-04-29T00:00:00"/>
    <x v="2"/>
    <s v="Cliente Final"/>
    <x v="0"/>
    <s v="Medio"/>
    <s v="Lavarropas Automático"/>
    <n v="1"/>
    <n v="3528484"/>
    <n v="2752217"/>
    <s v="Luque"/>
    <n v="3528484"/>
    <n v="2752217"/>
    <n v="776267"/>
    <n v="0.22000014737207255"/>
  </r>
  <r>
    <d v="2024-05-11T00:00:00"/>
    <x v="3"/>
    <s v="Cliente Final"/>
    <x v="0"/>
    <s v="Básico"/>
    <s v="Lavarropas Semiautomático"/>
    <n v="1"/>
    <n v="1877626"/>
    <n v="1408219"/>
    <s v="Fernando de la Mora"/>
    <n v="1877626"/>
    <n v="1408219"/>
    <n v="469407"/>
    <n v="0.25000026629371347"/>
  </r>
  <r>
    <d v="2024-04-17T00:00:00"/>
    <x v="1"/>
    <s v="Cliente Final"/>
    <x v="2"/>
    <s v="Medio"/>
    <s v="Smart TV 50&quot;"/>
    <n v="1"/>
    <n v="1964262"/>
    <n v="1473196"/>
    <s v="Lambaré"/>
    <n v="1964262"/>
    <n v="1473196"/>
    <n v="491066"/>
    <n v="0.25000025454852765"/>
  </r>
  <r>
    <d v="2024-03-07T00:00:00"/>
    <x v="1"/>
    <s v="Cliente Final"/>
    <x v="0"/>
    <s v="Premium"/>
    <s v="Lavarropas Inverter"/>
    <n v="1"/>
    <n v="4247580"/>
    <n v="3398064"/>
    <s v="San Lorenzo"/>
    <n v="4247580"/>
    <n v="3398064"/>
    <n v="849516"/>
    <n v="0.2"/>
  </r>
  <r>
    <d v="2024-02-25T00:00:00"/>
    <x v="2"/>
    <s v="Cliente Final"/>
    <x v="4"/>
    <s v="Premium"/>
    <s v="Split Inverter"/>
    <n v="1"/>
    <n v="6490850"/>
    <n v="5192680"/>
    <s v="Fernando de la Mora"/>
    <n v="6490850"/>
    <n v="5192680"/>
    <n v="1298170"/>
    <n v="0.2"/>
  </r>
  <r>
    <d v="2024-02-08T00:00:00"/>
    <x v="2"/>
    <s v="Cliente Final"/>
    <x v="0"/>
    <s v="Medio"/>
    <s v="Lavarropas Automático"/>
    <n v="1"/>
    <n v="3141267"/>
    <n v="2450188"/>
    <s v="Luque"/>
    <n v="3141267"/>
    <n v="2450188"/>
    <n v="691079"/>
    <n v="0.22000008276915015"/>
  </r>
  <r>
    <d v="2024-05-23T00:00:00"/>
    <x v="2"/>
    <s v="Cliente Final"/>
    <x v="1"/>
    <s v="Básico"/>
    <s v="Licuadora Básica"/>
    <n v="3"/>
    <n v="227055"/>
    <n v="136233"/>
    <s v="Asunción"/>
    <n v="681165"/>
    <n v="408699"/>
    <n v="272466"/>
    <n v="0.4"/>
  </r>
  <r>
    <d v="2024-03-20T00:00:00"/>
    <x v="1"/>
    <s v="Cliente Final"/>
    <x v="2"/>
    <s v="Básico"/>
    <s v="TV LED 32&quot;"/>
    <n v="1"/>
    <n v="1270467"/>
    <n v="889326"/>
    <s v="Lambaré"/>
    <n v="1270467"/>
    <n v="889326"/>
    <n v="381141"/>
    <n v="0.30000070840092657"/>
  </r>
  <r>
    <d v="2024-06-15T00:00:00"/>
    <x v="2"/>
    <s v="Cliente Final"/>
    <x v="0"/>
    <s v="Premium"/>
    <s v="Lavarropas Inverter"/>
    <n v="1"/>
    <n v="5435577"/>
    <n v="4348461"/>
    <s v="Luque"/>
    <n v="5435577"/>
    <n v="4348461"/>
    <n v="1087116"/>
    <n v="0.20000011038386542"/>
  </r>
  <r>
    <d v="2024-05-18T00:00:00"/>
    <x v="0"/>
    <s v="Cliente Final"/>
    <x v="0"/>
    <s v="Premium"/>
    <s v="Lavarropas Inverter"/>
    <n v="1"/>
    <n v="4286171"/>
    <n v="3428936"/>
    <s v="Lambaré"/>
    <n v="4286171"/>
    <n v="3428936"/>
    <n v="857235"/>
    <n v="0.20000018664677635"/>
  </r>
  <r>
    <d v="2024-05-06T00:00:00"/>
    <x v="2"/>
    <s v="Cliente Final"/>
    <x v="3"/>
    <s v="Medio"/>
    <s v="Heladera Inverter 300L"/>
    <n v="1"/>
    <n v="4261584"/>
    <n v="3324035"/>
    <s v="Asunción"/>
    <n v="4261584"/>
    <n v="3324035"/>
    <n v="937549"/>
    <n v="0.22000012202035674"/>
  </r>
  <r>
    <d v="2024-04-01T00:00:00"/>
    <x v="3"/>
    <s v="Cliente Final"/>
    <x v="4"/>
    <s v="Premium"/>
    <s v="Split Inverter"/>
    <n v="1"/>
    <n v="6770601"/>
    <n v="5416480"/>
    <s v="San Lorenzo"/>
    <n v="6770601"/>
    <n v="5416480"/>
    <n v="1354121"/>
    <n v="0.20000011815790061"/>
  </r>
  <r>
    <d v="2024-02-28T00:00:00"/>
    <x v="0"/>
    <s v="Cliente Final"/>
    <x v="0"/>
    <s v="Premium"/>
    <s v="Lavarropas Inverter"/>
    <n v="1"/>
    <n v="4471808"/>
    <n v="3577446"/>
    <s v="Lambaré"/>
    <n v="4471808"/>
    <n v="3577446"/>
    <n v="894362"/>
    <n v="0.20000008944927869"/>
  </r>
  <r>
    <d v="2024-06-22T00:00:00"/>
    <x v="2"/>
    <s v="Cliente Final"/>
    <x v="4"/>
    <s v="Medio"/>
    <s v="Split 12000 BTU"/>
    <n v="1"/>
    <n v="4184575"/>
    <n v="3138431"/>
    <s v="Asunción"/>
    <n v="4184575"/>
    <n v="3138431"/>
    <n v="1046144"/>
    <n v="0.25000005974322365"/>
  </r>
  <r>
    <d v="2024-06-26T00:00:00"/>
    <x v="1"/>
    <s v="Cliente Final"/>
    <x v="3"/>
    <s v="Básico"/>
    <s v="Heladera Básica 250L"/>
    <n v="1"/>
    <n v="3082267"/>
    <n v="2311700"/>
    <s v="Fernando de la Mora"/>
    <n v="3082267"/>
    <n v="2311700"/>
    <n v="770567"/>
    <n v="0.25000008110913169"/>
  </r>
  <r>
    <d v="2024-04-23T00:00:00"/>
    <x v="0"/>
    <s v="Cliente Final"/>
    <x v="2"/>
    <s v="Premium"/>
    <s v="Smart TV 65&quot; 4K"/>
    <n v="1"/>
    <n v="2023773"/>
    <n v="1619018"/>
    <s v="Asunción"/>
    <n v="2023773"/>
    <n v="1619018"/>
    <n v="404755"/>
    <n v="0.20000019765062585"/>
  </r>
  <r>
    <d v="2024-05-05T00:00:00"/>
    <x v="3"/>
    <s v="Cliente Final"/>
    <x v="3"/>
    <s v="Premium"/>
    <s v="Heladera Premium 450L"/>
    <n v="1"/>
    <n v="5786824"/>
    <n v="4629459"/>
    <s v="Fernando de la Mora"/>
    <n v="5786824"/>
    <n v="4629459"/>
    <n v="1157365"/>
    <n v="0.2000000345612723"/>
  </r>
  <r>
    <d v="2024-03-06T00:00:00"/>
    <x v="1"/>
    <s v="Cliente Final"/>
    <x v="4"/>
    <s v="Básico"/>
    <s v="Aire Ventana"/>
    <n v="1"/>
    <n v="2922868"/>
    <n v="2104464"/>
    <s v="Lambaré"/>
    <n v="2922868"/>
    <n v="2104464"/>
    <n v="818404"/>
    <n v="0.28000032844452777"/>
  </r>
  <r>
    <d v="2024-06-24T00:00:00"/>
    <x v="3"/>
    <s v="Cliente Final"/>
    <x v="4"/>
    <s v="Premium"/>
    <s v="Split Inverter"/>
    <n v="1"/>
    <n v="6843218"/>
    <n v="5474574"/>
    <s v="Luque"/>
    <n v="6843218"/>
    <n v="5474574"/>
    <n v="1368644"/>
    <n v="0.20000005845203236"/>
  </r>
  <r>
    <d v="2024-05-09T00:00:00"/>
    <x v="2"/>
    <s v="Cliente Final"/>
    <x v="4"/>
    <s v="Medio"/>
    <s v="Split 12000 BTU"/>
    <n v="1"/>
    <n v="4161107"/>
    <n v="3120830"/>
    <s v="Lambaré"/>
    <n v="4161107"/>
    <n v="3120830"/>
    <n v="1040277"/>
    <n v="0.25000006008016618"/>
  </r>
  <r>
    <d v="2024-02-29T00:00:00"/>
    <x v="2"/>
    <s v="Cliente Final"/>
    <x v="4"/>
    <s v="Medio"/>
    <s v="Split 12000 BTU"/>
    <n v="1"/>
    <n v="5705234"/>
    <n v="4278925"/>
    <s v="Lambaré"/>
    <n v="5705234"/>
    <n v="4278925"/>
    <n v="1426309"/>
    <n v="0.25000008763882425"/>
  </r>
  <r>
    <d v="2024-05-17T00:00:00"/>
    <x v="3"/>
    <s v="Cliente Final"/>
    <x v="2"/>
    <s v="Premium"/>
    <s v="Smart TV 65&quot; 4K"/>
    <n v="1"/>
    <n v="3000622"/>
    <n v="2400497"/>
    <s v="Asunción"/>
    <n v="3000622"/>
    <n v="2400497"/>
    <n v="600125"/>
    <n v="0.20000019995854193"/>
  </r>
  <r>
    <d v="2024-03-19T00:00:00"/>
    <x v="1"/>
    <s v="Cliente Final"/>
    <x v="3"/>
    <s v="Premium"/>
    <s v="Heladera Premium 450L"/>
    <n v="1"/>
    <n v="9142888"/>
    <n v="7314310"/>
    <s v="Fernando de la Mora"/>
    <n v="9142888"/>
    <n v="7314310"/>
    <n v="1828578"/>
    <n v="0.20000004374985234"/>
  </r>
  <r>
    <d v="2024-03-01T00:00:00"/>
    <x v="3"/>
    <s v="Cliente Final"/>
    <x v="1"/>
    <s v="Medio"/>
    <s v="Cafetera Eléctrica"/>
    <n v="3"/>
    <n v="918892"/>
    <n v="597279"/>
    <s v="Asunción"/>
    <n v="2756676"/>
    <n v="1791837"/>
    <n v="964839"/>
    <n v="0.35000087061373913"/>
  </r>
  <r>
    <d v="2024-05-18T00:00:00"/>
    <x v="0"/>
    <s v="Cliente Final"/>
    <x v="1"/>
    <s v="Premium"/>
    <s v="Procesadora Premium"/>
    <n v="3"/>
    <n v="1999776"/>
    <n v="1399843"/>
    <s v="Asunción"/>
    <n v="5999328"/>
    <n v="4199529"/>
    <n v="1799799"/>
    <n v="0.30000010001120125"/>
  </r>
  <r>
    <d v="2024-06-13T00:00:00"/>
    <x v="3"/>
    <s v="Cliente Final"/>
    <x v="4"/>
    <s v="Medio"/>
    <s v="Split 12000 BTU"/>
    <n v="1"/>
    <n v="5589245"/>
    <n v="4191933"/>
    <s v="Luque"/>
    <n v="5589245"/>
    <n v="4191933"/>
    <n v="1397312"/>
    <n v="0.25000013418628098"/>
  </r>
  <r>
    <d v="2024-02-18T00:00:00"/>
    <x v="3"/>
    <s v="Cliente Final"/>
    <x v="2"/>
    <s v="Medio"/>
    <s v="Smart TV 50&quot;"/>
    <n v="1"/>
    <n v="1488181"/>
    <n v="1116135"/>
    <s v="Lambaré"/>
    <n v="1488181"/>
    <n v="1116135"/>
    <n v="372046"/>
    <n v="0.25000050397095513"/>
  </r>
  <r>
    <d v="2024-06-24T00:00:00"/>
    <x v="1"/>
    <s v="Cliente Final"/>
    <x v="4"/>
    <s v="Premium"/>
    <s v="Split Inverter"/>
    <n v="1"/>
    <n v="6343545"/>
    <n v="5074836"/>
    <s v="Luque"/>
    <n v="6343545"/>
    <n v="5074836"/>
    <n v="1268709"/>
    <n v="0.2"/>
  </r>
  <r>
    <d v="2024-05-28T00:00:00"/>
    <x v="1"/>
    <s v="Cliente Final"/>
    <x v="3"/>
    <s v="Básico"/>
    <s v="Heladera Básica 250L"/>
    <n v="1"/>
    <n v="2939408"/>
    <n v="2204556"/>
    <s v="San Lorenzo"/>
    <n v="2939408"/>
    <n v="2204556"/>
    <n v="734852"/>
    <n v="0.25"/>
  </r>
  <r>
    <d v="2024-05-12T00:00:00"/>
    <x v="3"/>
    <s v="Cliente Final"/>
    <x v="1"/>
    <s v="Premium"/>
    <s v="Procesadora Premium"/>
    <n v="1"/>
    <n v="1388535"/>
    <n v="971974"/>
    <s v="Asunción"/>
    <n v="1388535"/>
    <n v="971974"/>
    <n v="416561"/>
    <n v="0.30000036009175141"/>
  </r>
  <r>
    <d v="2024-01-16T00:00:00"/>
    <x v="3"/>
    <s v="Cliente Final"/>
    <x v="2"/>
    <s v="Medio"/>
    <s v="Smart TV 50&quot;"/>
    <n v="1"/>
    <n v="1958035"/>
    <n v="1468526"/>
    <s v="Asunción"/>
    <n v="1958035"/>
    <n v="1468526"/>
    <n v="489509"/>
    <n v="0.25000012767902513"/>
  </r>
  <r>
    <d v="2024-04-28T00:00:00"/>
    <x v="2"/>
    <s v="Cliente Final"/>
    <x v="2"/>
    <s v="Premium"/>
    <s v="Smart TV 65&quot; 4K"/>
    <n v="1"/>
    <n v="2403370"/>
    <n v="1922696"/>
    <s v="Asunción"/>
    <n v="2403370"/>
    <n v="1922696"/>
    <n v="480674"/>
    <n v="0.2"/>
  </r>
  <r>
    <d v="2024-04-30T00:00:00"/>
    <x v="0"/>
    <s v="Cliente Final"/>
    <x v="1"/>
    <s v="Premium"/>
    <s v="Procesadora Premium"/>
    <n v="1"/>
    <n v="1799279"/>
    <n v="1259495"/>
    <s v="Fernando de la Mora"/>
    <n v="1799279"/>
    <n v="1259495"/>
    <n v="539784"/>
    <n v="0.3000001667334527"/>
  </r>
  <r>
    <d v="2024-05-06T00:00:00"/>
    <x v="2"/>
    <s v="Cliente Final"/>
    <x v="4"/>
    <s v="Básico"/>
    <s v="Aire Ventana"/>
    <n v="1"/>
    <n v="2315628"/>
    <n v="1667252"/>
    <s v="Asunción"/>
    <n v="2315628"/>
    <n v="1667252"/>
    <n v="648376"/>
    <n v="0.28000006909572694"/>
  </r>
  <r>
    <d v="2024-04-12T00:00:00"/>
    <x v="0"/>
    <s v="Cliente Final"/>
    <x v="2"/>
    <s v="Premium"/>
    <s v="Smart TV 65&quot; 4K"/>
    <n v="1"/>
    <n v="3231014"/>
    <n v="2584811"/>
    <s v="Luque"/>
    <n v="3231014"/>
    <n v="2584811"/>
    <n v="646203"/>
    <n v="0.20000006190007225"/>
  </r>
  <r>
    <d v="2024-05-12T00:00:00"/>
    <x v="1"/>
    <s v="Cliente Final"/>
    <x v="1"/>
    <s v="Básico"/>
    <s v="Licuadora Básica"/>
    <n v="1"/>
    <n v="276199"/>
    <n v="165719"/>
    <s v="San Lorenzo"/>
    <n v="276199"/>
    <n v="165719"/>
    <n v="110480"/>
    <n v="0.40000144823116668"/>
  </r>
  <r>
    <d v="2024-02-08T00:00:00"/>
    <x v="3"/>
    <s v="Cliente Final"/>
    <x v="1"/>
    <s v="Premium"/>
    <s v="Procesadora Premium"/>
    <n v="3"/>
    <n v="1990600"/>
    <n v="1393420"/>
    <s v="Luque"/>
    <n v="5971800"/>
    <n v="4180260"/>
    <n v="1791540"/>
    <n v="0.3"/>
  </r>
  <r>
    <d v="2024-05-24T00:00:00"/>
    <x v="1"/>
    <s v="Cliente Final"/>
    <x v="1"/>
    <s v="Medio"/>
    <s v="Cafetera Eléctrica"/>
    <n v="2"/>
    <n v="833128"/>
    <n v="541533"/>
    <s v="Luque"/>
    <n v="1666256"/>
    <n v="1083066"/>
    <n v="583190"/>
    <n v="0.35000024005915059"/>
  </r>
  <r>
    <d v="2024-06-15T00:00:00"/>
    <x v="0"/>
    <s v="Cliente Final"/>
    <x v="4"/>
    <s v="Medio"/>
    <s v="Split 12000 BTU"/>
    <n v="1"/>
    <n v="4852881"/>
    <n v="3639660"/>
    <s v="Fernando de la Mora"/>
    <n v="4852881"/>
    <n v="3639660"/>
    <n v="1213221"/>
    <n v="0.25000015454737096"/>
  </r>
  <r>
    <d v="2024-06-04T00:00:00"/>
    <x v="0"/>
    <s v="Cliente Final"/>
    <x v="3"/>
    <s v="Medio"/>
    <s v="Heladera Inverter 300L"/>
    <n v="1"/>
    <n v="4846818"/>
    <n v="3780518"/>
    <s v="Asunción"/>
    <n v="4846818"/>
    <n v="3780518"/>
    <n v="1066300"/>
    <n v="0.22000000825283722"/>
  </r>
  <r>
    <d v="2024-06-05T00:00:00"/>
    <x v="0"/>
    <s v="Cliente Final"/>
    <x v="4"/>
    <s v="Básico"/>
    <s v="Aire Ventana"/>
    <n v="1"/>
    <n v="2582139"/>
    <n v="1859140"/>
    <s v="Asunción"/>
    <n v="2582139"/>
    <n v="1859140"/>
    <n v="722999"/>
    <n v="0.28000003098206566"/>
  </r>
  <r>
    <d v="2024-04-11T00:00:00"/>
    <x v="3"/>
    <s v="Cliente Final"/>
    <x v="4"/>
    <s v="Básico"/>
    <s v="Aire Ventana"/>
    <n v="1"/>
    <n v="2088708"/>
    <n v="1503869"/>
    <s v="San Lorenzo"/>
    <n v="2088708"/>
    <n v="1503869"/>
    <n v="584839"/>
    <n v="0.28000036386129606"/>
  </r>
  <r>
    <d v="2024-03-14T00:00:00"/>
    <x v="2"/>
    <s v="Cliente Final"/>
    <x v="0"/>
    <s v="Premium"/>
    <s v="Lavarropas Inverter"/>
    <n v="1"/>
    <n v="4800893"/>
    <n v="3840714"/>
    <s v="San Lorenzo"/>
    <n v="4800893"/>
    <n v="3840714"/>
    <n v="960179"/>
    <n v="0.20000008331783276"/>
  </r>
  <r>
    <d v="2024-05-18T00:00:00"/>
    <x v="1"/>
    <s v="Cliente Final"/>
    <x v="4"/>
    <s v="Premium"/>
    <s v="Split Inverter"/>
    <n v="1"/>
    <n v="7000833"/>
    <n v="5600666"/>
    <s v="Fernando de la Mora"/>
    <n v="7000833"/>
    <n v="5600666"/>
    <n v="1400167"/>
    <n v="0.20000005713605795"/>
  </r>
  <r>
    <d v="2024-02-28T00:00:00"/>
    <x v="3"/>
    <s v="Cliente Final"/>
    <x v="1"/>
    <s v="Medio"/>
    <s v="Cafetera Eléctrica"/>
    <n v="2"/>
    <n v="749508"/>
    <n v="487180"/>
    <s v="Lambaré"/>
    <n v="1499016"/>
    <n v="974360"/>
    <n v="524656"/>
    <n v="0.35000026684171481"/>
  </r>
  <r>
    <d v="2024-03-23T00:00:00"/>
    <x v="1"/>
    <s v="Cliente Final"/>
    <x v="1"/>
    <s v="Básico"/>
    <s v="Licuadora Básica"/>
    <n v="3"/>
    <n v="349661"/>
    <n v="209796"/>
    <s v="Asunción"/>
    <n v="1048983"/>
    <n v="629388"/>
    <n v="419595"/>
    <n v="0.40000171594773221"/>
  </r>
  <r>
    <d v="2024-04-08T00:00:00"/>
    <x v="0"/>
    <s v="Cliente Final"/>
    <x v="0"/>
    <s v="Básico"/>
    <s v="Lavarropas Semiautomático"/>
    <n v="1"/>
    <n v="2547165"/>
    <n v="1910373"/>
    <s v="Asunción"/>
    <n v="2547165"/>
    <n v="1910373"/>
    <n v="636792"/>
    <n v="0.2500002944450006"/>
  </r>
  <r>
    <d v="2024-01-16T00:00:00"/>
    <x v="1"/>
    <s v="Cliente Final"/>
    <x v="2"/>
    <s v="Básico"/>
    <s v="TV LED 32&quot;"/>
    <n v="1"/>
    <n v="968352"/>
    <n v="677846"/>
    <s v="Fernando de la Mora"/>
    <n v="968352"/>
    <n v="677846"/>
    <n v="290506"/>
    <n v="0.30000041307293218"/>
  </r>
  <r>
    <d v="2024-06-20T00:00:00"/>
    <x v="0"/>
    <s v="Cliente Final"/>
    <x v="1"/>
    <s v="Básico"/>
    <s v="Licuadora Básica"/>
    <n v="3"/>
    <n v="330146"/>
    <n v="198087"/>
    <s v="Fernando de la Mora"/>
    <n v="990438"/>
    <n v="594261"/>
    <n v="396177"/>
    <n v="0.40000181737776619"/>
  </r>
  <r>
    <d v="2024-04-29T00:00:00"/>
    <x v="3"/>
    <s v="Cliente Final"/>
    <x v="2"/>
    <s v="Básico"/>
    <s v="TV LED 32&quot;"/>
    <n v="1"/>
    <n v="815602"/>
    <n v="570921"/>
    <s v="Fernando de la Mora"/>
    <n v="815602"/>
    <n v="570921"/>
    <n v="244681"/>
    <n v="0.30000049043528582"/>
  </r>
  <r>
    <d v="2024-01-11T00:00:00"/>
    <x v="1"/>
    <s v="Cliente Final"/>
    <x v="3"/>
    <s v="Premium"/>
    <s v="Heladera Premium 450L"/>
    <n v="1"/>
    <n v="5443902"/>
    <n v="4355121"/>
    <s v="Fernando de la Mora"/>
    <n v="5443902"/>
    <n v="4355121"/>
    <n v="1088781"/>
    <n v="0.20000011021506264"/>
  </r>
  <r>
    <d v="2024-04-12T00:00:00"/>
    <x v="1"/>
    <s v="Cliente Final"/>
    <x v="2"/>
    <s v="Medio"/>
    <s v="Smart TV 50&quot;"/>
    <n v="1"/>
    <n v="1557801"/>
    <n v="1168350"/>
    <s v="San Lorenzo"/>
    <n v="1557801"/>
    <n v="1168350"/>
    <n v="389451"/>
    <n v="0.25000048144788711"/>
  </r>
  <r>
    <d v="2024-05-29T00:00:00"/>
    <x v="3"/>
    <s v="Cliente Final"/>
    <x v="0"/>
    <s v="Medio"/>
    <s v="Lavarropas Automático"/>
    <n v="1"/>
    <n v="3877794"/>
    <n v="3024679"/>
    <s v="Lambaré"/>
    <n v="3877794"/>
    <n v="3024679"/>
    <n v="853115"/>
    <n v="0.22000008252114475"/>
  </r>
  <r>
    <d v="2024-04-08T00:00:00"/>
    <x v="1"/>
    <s v="Cliente Final"/>
    <x v="3"/>
    <s v="Premium"/>
    <s v="Heladera Premium 450L"/>
    <n v="1"/>
    <n v="8119783"/>
    <n v="6495826"/>
    <s v="Asunción"/>
    <n v="8119783"/>
    <n v="6495826"/>
    <n v="1623957"/>
    <n v="0.20000004926240023"/>
  </r>
  <r>
    <d v="2024-04-06T00:00:00"/>
    <x v="0"/>
    <s v="Cliente Final"/>
    <x v="2"/>
    <s v="Premium"/>
    <s v="Smart TV 65&quot; 4K"/>
    <n v="1"/>
    <n v="2942196"/>
    <n v="2353756"/>
    <s v="Asunción"/>
    <n v="2942196"/>
    <n v="2353756"/>
    <n v="588440"/>
    <n v="0.2000002719057466"/>
  </r>
  <r>
    <d v="2024-06-05T00:00:00"/>
    <x v="3"/>
    <s v="Cliente Final"/>
    <x v="3"/>
    <s v="Básico"/>
    <s v="Heladera Básica 250L"/>
    <n v="1"/>
    <n v="2532924"/>
    <n v="1899693"/>
    <s v="Asunción"/>
    <n v="2532924"/>
    <n v="1899693"/>
    <n v="633231"/>
    <n v="0.25"/>
  </r>
  <r>
    <d v="2024-06-13T00:00:00"/>
    <x v="0"/>
    <s v="Cliente Final"/>
    <x v="1"/>
    <s v="Básico"/>
    <s v="Licuadora Básica"/>
    <n v="2"/>
    <n v="457257"/>
    <n v="274354"/>
    <s v="Luque"/>
    <n v="914514"/>
    <n v="548708"/>
    <n v="365806"/>
    <n v="0.400000437390789"/>
  </r>
  <r>
    <d v="2024-06-04T00:00:00"/>
    <x v="3"/>
    <s v="Cliente Final"/>
    <x v="3"/>
    <s v="Básico"/>
    <s v="Heladera Básica 250L"/>
    <n v="1"/>
    <n v="2276346"/>
    <n v="1707259"/>
    <s v="Asunción"/>
    <n v="2276346"/>
    <n v="1707259"/>
    <n v="569087"/>
    <n v="0.25000021965026409"/>
  </r>
  <r>
    <d v="2024-04-16T00:00:00"/>
    <x v="3"/>
    <s v="Cliente Final"/>
    <x v="1"/>
    <s v="Premium"/>
    <s v="Procesadora Premium"/>
    <n v="1"/>
    <n v="1815692"/>
    <n v="1270984"/>
    <s v="Asunción"/>
    <n v="1815692"/>
    <n v="1270984"/>
    <n v="544708"/>
    <n v="0.30000022030168111"/>
  </r>
  <r>
    <d v="2024-06-08T00:00:00"/>
    <x v="3"/>
    <s v="Cliente Final"/>
    <x v="4"/>
    <s v="Básico"/>
    <s v="Aire Ventana"/>
    <n v="1"/>
    <n v="2433558"/>
    <n v="1752161"/>
    <s v="Fernando de la Mora"/>
    <n v="2433558"/>
    <n v="1752161"/>
    <n v="681397"/>
    <n v="0.28000031229993283"/>
  </r>
  <r>
    <d v="2024-06-26T00:00:00"/>
    <x v="2"/>
    <s v="Cliente Final"/>
    <x v="1"/>
    <s v="Medio"/>
    <s v="Cafetera Eléctrica"/>
    <n v="1"/>
    <n v="802380"/>
    <n v="521547"/>
    <s v="San Lorenzo"/>
    <n v="802380"/>
    <n v="521547"/>
    <n v="280833"/>
    <n v="0.35"/>
  </r>
  <r>
    <d v="2024-04-20T00:00:00"/>
    <x v="0"/>
    <s v="Cliente Final"/>
    <x v="2"/>
    <s v="Básico"/>
    <s v="TV LED 32&quot;"/>
    <n v="1"/>
    <n v="1197643"/>
    <n v="838350"/>
    <s v="Lambaré"/>
    <n v="1197643"/>
    <n v="838350"/>
    <n v="359293"/>
    <n v="0.30000008349733603"/>
  </r>
  <r>
    <d v="2024-06-20T00:00:00"/>
    <x v="0"/>
    <s v="Cliente Final"/>
    <x v="2"/>
    <s v="Básico"/>
    <s v="TV LED 32&quot;"/>
    <n v="1"/>
    <n v="1226039"/>
    <n v="858227"/>
    <s v="San Lorenzo"/>
    <n v="1226039"/>
    <n v="858227"/>
    <n v="367812"/>
    <n v="0.30000024469042175"/>
  </r>
  <r>
    <d v="2024-04-16T00:00:00"/>
    <x v="3"/>
    <s v="Cliente Final"/>
    <x v="0"/>
    <s v="Premium"/>
    <s v="Lavarropas Inverter"/>
    <n v="1"/>
    <n v="4801077"/>
    <n v="3840861"/>
    <s v="Luque"/>
    <n v="4801077"/>
    <n v="3840861"/>
    <n v="960216"/>
    <n v="0.2000001249719594"/>
  </r>
  <r>
    <d v="2024-02-23T00:00:00"/>
    <x v="1"/>
    <s v="Cliente Final"/>
    <x v="2"/>
    <s v="Premium"/>
    <s v="Smart TV 65&quot; 4K"/>
    <n v="1"/>
    <n v="2301314"/>
    <n v="1841051"/>
    <s v="San Lorenzo"/>
    <n v="2301314"/>
    <n v="1841051"/>
    <n v="460263"/>
    <n v="0.20000008690687146"/>
  </r>
  <r>
    <d v="2024-04-02T00:00:00"/>
    <x v="0"/>
    <s v="Cliente Final"/>
    <x v="4"/>
    <s v="Medio"/>
    <s v="Split 12000 BTU"/>
    <n v="1"/>
    <n v="4626097"/>
    <n v="3469572"/>
    <s v="Lambaré"/>
    <n v="4626097"/>
    <n v="3469572"/>
    <n v="1156525"/>
    <n v="0.25000016212370818"/>
  </r>
  <r>
    <d v="2024-06-11T00:00:00"/>
    <x v="2"/>
    <s v="Cliente Final"/>
    <x v="2"/>
    <s v="Básico"/>
    <s v="TV LED 32&quot;"/>
    <n v="1"/>
    <n v="1251919"/>
    <n v="876343"/>
    <s v="Asunción"/>
    <n v="1251919"/>
    <n v="876343"/>
    <n v="375576"/>
    <n v="0.30000023963211675"/>
  </r>
  <r>
    <d v="2024-06-08T00:00:00"/>
    <x v="3"/>
    <s v="Cliente Final"/>
    <x v="0"/>
    <s v="Premium"/>
    <s v="Lavarropas Inverter"/>
    <n v="1"/>
    <n v="4249214"/>
    <n v="3399371"/>
    <s v="Lambaré"/>
    <n v="4249214"/>
    <n v="3399371"/>
    <n v="849843"/>
    <n v="0.20000004706752825"/>
  </r>
  <r>
    <d v="2024-01-29T00:00:00"/>
    <x v="2"/>
    <s v="Cliente Final"/>
    <x v="2"/>
    <s v="Básico"/>
    <s v="TV LED 32&quot;"/>
    <n v="1"/>
    <n v="985605"/>
    <n v="689923"/>
    <s v="Fernando de la Mora"/>
    <n v="985605"/>
    <n v="689923"/>
    <n v="295682"/>
    <n v="0.30000050730262123"/>
  </r>
  <r>
    <d v="2024-03-01T00:00:00"/>
    <x v="0"/>
    <s v="Cliente Final"/>
    <x v="2"/>
    <s v="Básico"/>
    <s v="TV LED 32&quot;"/>
    <n v="1"/>
    <n v="970764"/>
    <n v="679534"/>
    <s v="Fernando de la Mora"/>
    <n v="970764"/>
    <n v="679534"/>
    <n v="291230"/>
    <n v="0.30000082409318846"/>
  </r>
  <r>
    <d v="2024-01-02T00:00:00"/>
    <x v="0"/>
    <s v="Cliente Final"/>
    <x v="0"/>
    <s v="Medio"/>
    <s v="Lavarropas Automático"/>
    <n v="1"/>
    <n v="2969587"/>
    <n v="2316277"/>
    <s v="Luque"/>
    <n v="2969587"/>
    <n v="2316277"/>
    <n v="653310"/>
    <n v="0.22000028960256091"/>
  </r>
  <r>
    <d v="2024-05-27T00:00:00"/>
    <x v="1"/>
    <s v="Cliente Final"/>
    <x v="4"/>
    <s v="Básico"/>
    <s v="Aire Ventana"/>
    <n v="1"/>
    <n v="2671867"/>
    <n v="1923744"/>
    <s v="Lambaré"/>
    <n v="2671867"/>
    <n v="1923744"/>
    <n v="748123"/>
    <n v="0.28000008982483038"/>
  </r>
  <r>
    <d v="2024-05-05T00:00:00"/>
    <x v="1"/>
    <s v="Cliente Final"/>
    <x v="1"/>
    <s v="Premium"/>
    <s v="Procesadora Premium"/>
    <n v="2"/>
    <n v="1479899"/>
    <n v="1035929"/>
    <s v="Luque"/>
    <n v="2959798"/>
    <n v="2071858"/>
    <n v="887940"/>
    <n v="0.30000020271653671"/>
  </r>
  <r>
    <d v="2024-05-31T00:00:00"/>
    <x v="3"/>
    <s v="Cliente Final"/>
    <x v="2"/>
    <s v="Medio"/>
    <s v="Smart TV 50&quot;"/>
    <n v="1"/>
    <n v="1416436"/>
    <n v="1062327"/>
    <s v="San Lorenzo"/>
    <n v="1416436"/>
    <n v="1062327"/>
    <n v="354109"/>
    <n v="0.25"/>
  </r>
  <r>
    <d v="2024-05-10T00:00:00"/>
    <x v="1"/>
    <s v="Cliente Final"/>
    <x v="2"/>
    <s v="Básico"/>
    <s v="TV LED 32&quot;"/>
    <n v="1"/>
    <n v="1132258"/>
    <n v="792580"/>
    <s v="Asunción"/>
    <n v="1132258"/>
    <n v="792580"/>
    <n v="339678"/>
    <n v="0.30000052991456011"/>
  </r>
  <r>
    <d v="2024-03-24T00:00:00"/>
    <x v="1"/>
    <s v="Cliente Final"/>
    <x v="3"/>
    <s v="Medio"/>
    <s v="Heladera Inverter 300L"/>
    <n v="1"/>
    <n v="4783545"/>
    <n v="3731165"/>
    <s v="Lambaré"/>
    <n v="4783545"/>
    <n v="3731165"/>
    <n v="1052380"/>
    <n v="0.22000002090499829"/>
  </r>
  <r>
    <d v="2024-06-21T00:00:00"/>
    <x v="0"/>
    <s v="Cliente Final"/>
    <x v="0"/>
    <s v="Básico"/>
    <s v="Lavarropas Semiautomático"/>
    <n v="1"/>
    <n v="2545749"/>
    <n v="1909311"/>
    <s v="Fernando de la Mora"/>
    <n v="2545749"/>
    <n v="1909311"/>
    <n v="636438"/>
    <n v="0.25000029460877721"/>
  </r>
  <r>
    <d v="2024-05-14T00:00:00"/>
    <x v="2"/>
    <s v="Cliente Final"/>
    <x v="4"/>
    <s v="Medio"/>
    <s v="Split 12000 BTU"/>
    <n v="1"/>
    <n v="5879964"/>
    <n v="4409973"/>
    <s v="Lambaré"/>
    <n v="5879964"/>
    <n v="4409973"/>
    <n v="1469991"/>
    <n v="0.25"/>
  </r>
  <r>
    <d v="2024-01-14T00:00:00"/>
    <x v="1"/>
    <s v="Cliente Final"/>
    <x v="0"/>
    <s v="Premium"/>
    <s v="Lavarropas Inverter"/>
    <n v="1"/>
    <n v="5321020"/>
    <n v="4256816"/>
    <s v="San Lorenzo"/>
    <n v="5321020"/>
    <n v="4256816"/>
    <n v="1064204"/>
    <n v="0.2"/>
  </r>
  <r>
    <d v="2024-05-02T00:00:00"/>
    <x v="2"/>
    <s v="Cliente Final"/>
    <x v="1"/>
    <s v="Básico"/>
    <s v="Licuadora Básica"/>
    <n v="3"/>
    <n v="393527"/>
    <n v="236116"/>
    <s v="Fernando de la Mora"/>
    <n v="1180581"/>
    <n v="708348"/>
    <n v="472233"/>
    <n v="0.40000050822434041"/>
  </r>
  <r>
    <d v="2024-02-19T00:00:00"/>
    <x v="3"/>
    <s v="Cliente Final"/>
    <x v="1"/>
    <s v="Premium"/>
    <s v="Procesadora Premium"/>
    <n v="1"/>
    <n v="1826579"/>
    <n v="1278605"/>
    <s v="San Lorenzo"/>
    <n v="1826579"/>
    <n v="1278605"/>
    <n v="547974"/>
    <n v="0.30000016424145903"/>
  </r>
  <r>
    <d v="2024-02-29T00:00:00"/>
    <x v="3"/>
    <s v="Cliente Final"/>
    <x v="3"/>
    <s v="Medio"/>
    <s v="Heladera Inverter 300L"/>
    <n v="1"/>
    <n v="4090480"/>
    <n v="3190574"/>
    <s v="San Lorenzo"/>
    <n v="4090480"/>
    <n v="3190574"/>
    <n v="899906"/>
    <n v="0.22000009778803464"/>
  </r>
  <r>
    <d v="2024-04-14T00:00:00"/>
    <x v="2"/>
    <s v="Cliente Final"/>
    <x v="2"/>
    <s v="Básico"/>
    <s v="TV LED 32&quot;"/>
    <n v="1"/>
    <n v="884572"/>
    <n v="619200"/>
    <s v="Asunción"/>
    <n v="884572"/>
    <n v="619200"/>
    <n v="265372"/>
    <n v="0.30000045219609034"/>
  </r>
  <r>
    <d v="2024-06-10T00:00:00"/>
    <x v="3"/>
    <s v="Cliente Final"/>
    <x v="4"/>
    <s v="Básico"/>
    <s v="Aire Ventana"/>
    <n v="1"/>
    <n v="2673320"/>
    <n v="1924790"/>
    <s v="San Lorenzo"/>
    <n v="2673320"/>
    <n v="1924790"/>
    <n v="748530"/>
    <n v="0.2800001496266814"/>
  </r>
  <r>
    <d v="2024-05-18T00:00:00"/>
    <x v="2"/>
    <s v="Cliente Final"/>
    <x v="3"/>
    <s v="Medio"/>
    <s v="Heladera Inverter 300L"/>
    <n v="1"/>
    <n v="4072505"/>
    <n v="3176553"/>
    <s v="Luque"/>
    <n v="4072505"/>
    <n v="3176553"/>
    <n v="895952"/>
    <n v="0.22000022099420383"/>
  </r>
  <r>
    <d v="2024-01-07T00:00:00"/>
    <x v="3"/>
    <s v="Cliente Final"/>
    <x v="3"/>
    <s v="Básico"/>
    <s v="Heladera Básica 250L"/>
    <n v="1"/>
    <n v="2827621"/>
    <n v="2120715"/>
    <s v="San Lorenzo"/>
    <n v="2827621"/>
    <n v="2120715"/>
    <n v="706906"/>
    <n v="0.25000026524063867"/>
  </r>
  <r>
    <d v="2024-06-13T00:00:00"/>
    <x v="0"/>
    <s v="Cliente Final"/>
    <x v="0"/>
    <s v="Medio"/>
    <s v="Lavarropas Automático"/>
    <n v="1"/>
    <n v="3930625"/>
    <n v="3065887"/>
    <s v="Lambaré"/>
    <n v="3930625"/>
    <n v="3065887"/>
    <n v="864738"/>
    <n v="0.2200001272062331"/>
  </r>
  <r>
    <d v="2024-01-06T00:00:00"/>
    <x v="3"/>
    <s v="Cliente Final"/>
    <x v="0"/>
    <s v="Premium"/>
    <s v="Lavarropas Inverter"/>
    <n v="1"/>
    <n v="4969584"/>
    <n v="3975667"/>
    <s v="San Lorenzo"/>
    <n v="4969584"/>
    <n v="3975667"/>
    <n v="993917"/>
    <n v="0.20000004024481727"/>
  </r>
  <r>
    <d v="2024-01-18T00:00:00"/>
    <x v="3"/>
    <s v="Cliente Final"/>
    <x v="4"/>
    <s v="Básico"/>
    <s v="Aire Ventana"/>
    <n v="1"/>
    <n v="2897572"/>
    <n v="2086251"/>
    <s v="Fernando de la Mora"/>
    <n v="2897572"/>
    <n v="2086251"/>
    <n v="811321"/>
    <n v="0.28000028989788694"/>
  </r>
  <r>
    <d v="2024-06-20T00:00:00"/>
    <x v="0"/>
    <s v="Cliente Final"/>
    <x v="0"/>
    <s v="Premium"/>
    <s v="Lavarropas Inverter"/>
    <n v="1"/>
    <n v="5325368"/>
    <n v="4260294"/>
    <s v="Asunción"/>
    <n v="5325368"/>
    <n v="4260294"/>
    <n v="1065074"/>
    <n v="0.20000007511218004"/>
  </r>
  <r>
    <d v="2024-02-26T00:00:00"/>
    <x v="1"/>
    <s v="Cliente Final"/>
    <x v="0"/>
    <s v="Medio"/>
    <s v="Lavarropas Automático"/>
    <n v="1"/>
    <n v="3499577"/>
    <n v="2729670"/>
    <s v="Fernando de la Mora"/>
    <n v="3499577"/>
    <n v="2729670"/>
    <n v="769907"/>
    <n v="0.22000001714492923"/>
  </r>
  <r>
    <d v="2024-04-19T00:00:00"/>
    <x v="2"/>
    <s v="Cliente Final"/>
    <x v="2"/>
    <s v="Medio"/>
    <s v="Smart TV 50&quot;"/>
    <n v="1"/>
    <n v="1837696"/>
    <n v="1378272"/>
    <s v="Asunción"/>
    <n v="1837696"/>
    <n v="1378272"/>
    <n v="459424"/>
    <n v="0.25"/>
  </r>
  <r>
    <d v="2024-05-11T00:00:00"/>
    <x v="1"/>
    <s v="Cliente Final"/>
    <x v="3"/>
    <s v="Premium"/>
    <s v="Heladera Premium 450L"/>
    <n v="1"/>
    <n v="8739303"/>
    <n v="6991442"/>
    <s v="Luque"/>
    <n v="8739303"/>
    <n v="6991442"/>
    <n v="1747861"/>
    <n v="0.2000000457702405"/>
  </r>
  <r>
    <d v="2024-04-16T00:00:00"/>
    <x v="0"/>
    <s v="Cliente Final"/>
    <x v="4"/>
    <s v="Medio"/>
    <s v="Split 12000 BTU"/>
    <n v="1"/>
    <n v="3951415"/>
    <n v="2963561"/>
    <s v="Lambaré"/>
    <n v="3951415"/>
    <n v="2963561"/>
    <n v="987854"/>
    <n v="0.25000006326847474"/>
  </r>
  <r>
    <d v="2024-06-13T00:00:00"/>
    <x v="0"/>
    <s v="Cliente Final"/>
    <x v="2"/>
    <s v="Premium"/>
    <s v="Smart TV 65&quot; 4K"/>
    <n v="1"/>
    <n v="2367800"/>
    <n v="1894240"/>
    <s v="Luque"/>
    <n v="2367800"/>
    <n v="1894240"/>
    <n v="473560"/>
    <n v="0.2"/>
  </r>
  <r>
    <d v="2024-04-15T00:00:00"/>
    <x v="0"/>
    <s v="Cliente Final"/>
    <x v="0"/>
    <s v="Básico"/>
    <s v="Lavarropas Semiautomático"/>
    <n v="1"/>
    <n v="1940181"/>
    <n v="1455135"/>
    <s v="San Lorenzo"/>
    <n v="1940181"/>
    <n v="1455135"/>
    <n v="485046"/>
    <n v="0.25000038656187235"/>
  </r>
  <r>
    <d v="2024-01-10T00:00:00"/>
    <x v="1"/>
    <s v="Cliente Final"/>
    <x v="0"/>
    <s v="Premium"/>
    <s v="Lavarropas Inverter"/>
    <n v="1"/>
    <n v="4265364"/>
    <n v="3412291"/>
    <s v="San Lorenzo"/>
    <n v="4265364"/>
    <n v="3412291"/>
    <n v="853073"/>
    <n v="0.20000004688931589"/>
  </r>
  <r>
    <d v="2024-05-03T00:00:00"/>
    <x v="2"/>
    <s v="Cliente Final"/>
    <x v="1"/>
    <s v="Básico"/>
    <s v="Licuadora Básica"/>
    <n v="3"/>
    <n v="410707"/>
    <n v="246424"/>
    <s v="San Lorenzo"/>
    <n v="1232121"/>
    <n v="739272"/>
    <n v="492849"/>
    <n v="0.40000048696516005"/>
  </r>
  <r>
    <d v="2024-03-01T00:00:00"/>
    <x v="2"/>
    <s v="Cliente Final"/>
    <x v="3"/>
    <s v="Medio"/>
    <s v="Heladera Inverter 300L"/>
    <n v="1"/>
    <n v="3545494"/>
    <n v="2765485"/>
    <s v="Lambaré"/>
    <n v="3545494"/>
    <n v="2765485"/>
    <n v="780009"/>
    <n v="0.22000009025540587"/>
  </r>
  <r>
    <d v="2024-04-17T00:00:00"/>
    <x v="3"/>
    <s v="Cliente Final"/>
    <x v="2"/>
    <s v="Básico"/>
    <s v="TV LED 32&quot;"/>
    <n v="1"/>
    <n v="916322"/>
    <n v="641425"/>
    <s v="San Lorenzo"/>
    <n v="916322"/>
    <n v="641425"/>
    <n v="274897"/>
    <n v="0.30000043652777081"/>
  </r>
  <r>
    <d v="2024-02-18T00:00:00"/>
    <x v="3"/>
    <s v="Cliente Final"/>
    <x v="1"/>
    <s v="Medio"/>
    <s v="Cafetera Eléctrica"/>
    <n v="2"/>
    <n v="1015954"/>
    <n v="660370"/>
    <s v="San Lorenzo"/>
    <n v="2031908"/>
    <n v="1320740"/>
    <n v="711168"/>
    <n v="0.35000009842965329"/>
  </r>
  <r>
    <d v="2024-06-29T00:00:00"/>
    <x v="3"/>
    <s v="Cliente Final"/>
    <x v="1"/>
    <s v="Básico"/>
    <s v="Licuadora Básica"/>
    <n v="3"/>
    <n v="167779"/>
    <n v="100667"/>
    <s v="Asunción"/>
    <n v="503337"/>
    <n v="302001"/>
    <n v="201336"/>
    <n v="0.40000238408859273"/>
  </r>
  <r>
    <d v="2024-04-30T00:00:00"/>
    <x v="3"/>
    <s v="Cliente Final"/>
    <x v="0"/>
    <s v="Medio"/>
    <s v="Lavarropas Automático"/>
    <n v="1"/>
    <n v="2956199"/>
    <n v="2305835"/>
    <s v="Luque"/>
    <n v="2956199"/>
    <n v="2305835"/>
    <n v="650364"/>
    <n v="0.2200000744198885"/>
  </r>
  <r>
    <d v="2024-05-30T00:00:00"/>
    <x v="1"/>
    <s v="Cliente Final"/>
    <x v="4"/>
    <s v="Básico"/>
    <s v="Aire Ventana"/>
    <n v="1"/>
    <n v="3340370"/>
    <n v="2405066"/>
    <s v="Fernando de la Mora"/>
    <n v="3340370"/>
    <n v="2405066"/>
    <n v="935304"/>
    <n v="0.28000011974721362"/>
  </r>
  <r>
    <d v="2024-04-12T00:00:00"/>
    <x v="1"/>
    <s v="Cliente Final"/>
    <x v="2"/>
    <s v="Premium"/>
    <s v="Smart TV 65&quot; 4K"/>
    <n v="1"/>
    <n v="3439527"/>
    <n v="2751621"/>
    <s v="Fernando de la Mora"/>
    <n v="3439527"/>
    <n v="2751621"/>
    <n v="687906"/>
    <n v="0.20000017444259049"/>
  </r>
  <r>
    <d v="2024-02-13T00:00:00"/>
    <x v="2"/>
    <s v="Cliente Final"/>
    <x v="3"/>
    <s v="Básico"/>
    <s v="Heladera Básica 250L"/>
    <n v="1"/>
    <n v="2199624"/>
    <n v="1649718"/>
    <s v="Lambaré"/>
    <n v="2199624"/>
    <n v="1649718"/>
    <n v="549906"/>
    <n v="0.25"/>
  </r>
  <r>
    <d v="2024-02-15T00:00:00"/>
    <x v="1"/>
    <s v="Cliente Final"/>
    <x v="3"/>
    <s v="Medio"/>
    <s v="Heladera Inverter 300L"/>
    <n v="1"/>
    <n v="4451041"/>
    <n v="3471811"/>
    <s v="Fernando de la Mora"/>
    <n v="4451041"/>
    <n v="3471811"/>
    <n v="979230"/>
    <n v="0.22000022017321341"/>
  </r>
  <r>
    <d v="2024-01-17T00:00:00"/>
    <x v="3"/>
    <s v="Cliente Final"/>
    <x v="2"/>
    <s v="Medio"/>
    <s v="Smart TV 50&quot;"/>
    <n v="1"/>
    <n v="1686080"/>
    <n v="1264560"/>
    <s v="Fernando de la Mora"/>
    <n v="1686080"/>
    <n v="1264560"/>
    <n v="421520"/>
    <n v="0.25"/>
  </r>
  <r>
    <d v="2024-03-16T00:00:00"/>
    <x v="0"/>
    <s v="Cliente Final"/>
    <x v="2"/>
    <s v="Premium"/>
    <s v="Smart TV 65&quot; 4K"/>
    <n v="1"/>
    <n v="2999373"/>
    <n v="2399498"/>
    <s v="Asunción"/>
    <n v="2999373"/>
    <n v="2399498"/>
    <n v="599875"/>
    <n v="0.20000013336120581"/>
  </r>
  <r>
    <d v="2024-02-13T00:00:00"/>
    <x v="2"/>
    <s v="Cliente Final"/>
    <x v="4"/>
    <s v="Medio"/>
    <s v="Split 12000 BTU"/>
    <n v="1"/>
    <n v="5476253"/>
    <n v="4107189"/>
    <s v="Asunción"/>
    <n v="5476253"/>
    <n v="4107189"/>
    <n v="1369064"/>
    <n v="0.2500001369549581"/>
  </r>
  <r>
    <d v="2024-05-02T00:00:00"/>
    <x v="0"/>
    <s v="Cliente Final"/>
    <x v="2"/>
    <s v="Básico"/>
    <s v="TV LED 32&quot;"/>
    <n v="1"/>
    <n v="1288650"/>
    <n v="902055"/>
    <s v="Lambaré"/>
    <n v="1288650"/>
    <n v="902055"/>
    <n v="386595"/>
    <n v="0.3"/>
  </r>
  <r>
    <d v="2024-06-14T00:00:00"/>
    <x v="1"/>
    <s v="Cliente Final"/>
    <x v="2"/>
    <s v="Medio"/>
    <s v="Smart TV 50&quot;"/>
    <n v="1"/>
    <n v="1578495"/>
    <n v="1183871"/>
    <s v="San Lorenzo"/>
    <n v="1578495"/>
    <n v="1183871"/>
    <n v="394624"/>
    <n v="0.25000015837870881"/>
  </r>
  <r>
    <d v="2024-01-23T00:00:00"/>
    <x v="3"/>
    <s v="Cliente Final"/>
    <x v="2"/>
    <s v="Premium"/>
    <s v="Smart TV 65&quot; 4K"/>
    <n v="1"/>
    <n v="2700777"/>
    <n v="2160621"/>
    <s v="Fernando de la Mora"/>
    <n v="2700777"/>
    <n v="2160621"/>
    <n v="540156"/>
    <n v="0.20000022215829"/>
  </r>
  <r>
    <d v="2024-02-20T00:00:00"/>
    <x v="0"/>
    <s v="Cliente Final"/>
    <x v="0"/>
    <s v="Premium"/>
    <s v="Lavarropas Inverter"/>
    <n v="1"/>
    <n v="4869733"/>
    <n v="3895786"/>
    <s v="Fernando de la Mora"/>
    <n v="4869733"/>
    <n v="3895786"/>
    <n v="973947"/>
    <n v="0.20000008214002699"/>
  </r>
  <r>
    <d v="2024-01-28T00:00:00"/>
    <x v="3"/>
    <s v="Cliente Final"/>
    <x v="0"/>
    <s v="Básico"/>
    <s v="Lavarropas Semiautomático"/>
    <n v="1"/>
    <n v="2285511"/>
    <n v="1714133"/>
    <s v="Luque"/>
    <n v="2285511"/>
    <n v="1714133"/>
    <n v="571378"/>
    <n v="0.25000010938472839"/>
  </r>
  <r>
    <d v="2024-01-04T00:00:00"/>
    <x v="0"/>
    <s v="Cliente Final"/>
    <x v="0"/>
    <s v="Medio"/>
    <s v="Lavarropas Automático"/>
    <n v="1"/>
    <n v="3553080"/>
    <n v="2771402"/>
    <s v="Luque"/>
    <n v="3553080"/>
    <n v="2771402"/>
    <n v="781678"/>
    <n v="0.2200001125783827"/>
  </r>
  <r>
    <d v="2024-04-05T00:00:00"/>
    <x v="2"/>
    <s v="Cliente Final"/>
    <x v="2"/>
    <s v="Medio"/>
    <s v="Smart TV 50&quot;"/>
    <n v="1"/>
    <n v="1425409"/>
    <n v="1069056"/>
    <s v="Lambaré"/>
    <n v="1425409"/>
    <n v="1069056"/>
    <n v="356353"/>
    <n v="0.25000052616477098"/>
  </r>
  <r>
    <d v="2024-03-05T00:00:00"/>
    <x v="1"/>
    <s v="Cliente Final"/>
    <x v="1"/>
    <s v="Premium"/>
    <s v="Procesadora Premium"/>
    <n v="2"/>
    <n v="1386752"/>
    <n v="970726"/>
    <s v="Luque"/>
    <n v="2773504"/>
    <n v="1941452"/>
    <n v="832052"/>
    <n v="0.30000028844378807"/>
  </r>
  <r>
    <d v="2024-04-11T00:00:00"/>
    <x v="2"/>
    <s v="Cliente Final"/>
    <x v="0"/>
    <s v="Básico"/>
    <s v="Lavarropas Semiautomático"/>
    <n v="1"/>
    <n v="2536001"/>
    <n v="1902000"/>
    <s v="Asunción"/>
    <n v="2536001"/>
    <n v="1902000"/>
    <n v="634001"/>
    <n v="0.2500002957412083"/>
  </r>
  <r>
    <d v="2024-02-27T00:00:00"/>
    <x v="0"/>
    <s v="Cliente Final"/>
    <x v="0"/>
    <s v="Medio"/>
    <s v="Lavarropas Automático"/>
    <n v="1"/>
    <n v="3507175"/>
    <n v="2735596"/>
    <s v="San Lorenzo"/>
    <n v="3507175"/>
    <n v="2735596"/>
    <n v="771579"/>
    <n v="0.22000014256488484"/>
  </r>
  <r>
    <d v="2024-03-05T00:00:00"/>
    <x v="2"/>
    <s v="Cliente Final"/>
    <x v="4"/>
    <s v="Básico"/>
    <s v="Aire Ventana"/>
    <n v="1"/>
    <n v="3413385"/>
    <n v="2457637"/>
    <s v="Asunción"/>
    <n v="3413385"/>
    <n v="2457637"/>
    <n v="955748"/>
    <n v="0.28000005859286309"/>
  </r>
  <r>
    <d v="2024-01-31T00:00:00"/>
    <x v="2"/>
    <s v="Cliente Final"/>
    <x v="0"/>
    <s v="Básico"/>
    <s v="Lavarropas Semiautomático"/>
    <n v="1"/>
    <n v="1912905"/>
    <n v="1434678"/>
    <s v="San Lorenzo"/>
    <n v="1912905"/>
    <n v="1434678"/>
    <n v="478227"/>
    <n v="0.25000039207383534"/>
  </r>
  <r>
    <d v="2024-05-22T00:00:00"/>
    <x v="1"/>
    <s v="Cliente Final"/>
    <x v="3"/>
    <s v="Básico"/>
    <s v="Heladera Básica 250L"/>
    <n v="1"/>
    <n v="2613259"/>
    <n v="1959944"/>
    <s v="San Lorenzo"/>
    <n v="2613259"/>
    <n v="1959944"/>
    <n v="653315"/>
    <n v="0.25000009566598641"/>
  </r>
  <r>
    <d v="2024-01-02T00:00:00"/>
    <x v="0"/>
    <s v="Cliente Final"/>
    <x v="1"/>
    <s v="Medio"/>
    <s v="Cafetera Eléctrica"/>
    <n v="2"/>
    <n v="1042779"/>
    <n v="677806"/>
    <s v="San Lorenzo"/>
    <n v="2085558"/>
    <n v="1355612"/>
    <n v="729946"/>
    <n v="0.3500003356415885"/>
  </r>
  <r>
    <d v="2024-06-09T00:00:00"/>
    <x v="0"/>
    <s v="Cliente Final"/>
    <x v="0"/>
    <s v="Medio"/>
    <s v="Lavarropas Automático"/>
    <n v="1"/>
    <n v="3257378"/>
    <n v="2540754"/>
    <s v="Luque"/>
    <n v="3257378"/>
    <n v="2540754"/>
    <n v="716624"/>
    <n v="0.22000025787611999"/>
  </r>
  <r>
    <d v="2024-01-09T00:00:00"/>
    <x v="0"/>
    <s v="Cliente Final"/>
    <x v="4"/>
    <s v="Básico"/>
    <s v="Aire Ventana"/>
    <n v="1"/>
    <n v="3020698"/>
    <n v="2174902"/>
    <s v="Fernando de la Mora"/>
    <n v="3020698"/>
    <n v="2174902"/>
    <n v="845796"/>
    <n v="0.28000018538761573"/>
  </r>
  <r>
    <d v="2024-03-17T00:00:00"/>
    <x v="2"/>
    <s v="Cliente Final"/>
    <x v="2"/>
    <s v="Premium"/>
    <s v="Smart TV 65&quot; 4K"/>
    <n v="1"/>
    <n v="2998487"/>
    <n v="2398789"/>
    <s v="Fernando de la Mora"/>
    <n v="2998487"/>
    <n v="2398789"/>
    <n v="599698"/>
    <n v="0.20000020010091757"/>
  </r>
  <r>
    <d v="2024-01-16T00:00:00"/>
    <x v="3"/>
    <s v="Cliente Final"/>
    <x v="0"/>
    <s v="Medio"/>
    <s v="Lavarropas Automático"/>
    <n v="1"/>
    <n v="3141752"/>
    <n v="2450566"/>
    <s v="San Lorenzo"/>
    <n v="3141752"/>
    <n v="2450566"/>
    <n v="691186"/>
    <n v="0.22000017824449541"/>
  </r>
  <r>
    <d v="2024-03-20T00:00:00"/>
    <x v="2"/>
    <s v="Cliente Final"/>
    <x v="3"/>
    <s v="Premium"/>
    <s v="Heladera Premium 450L"/>
    <n v="1"/>
    <n v="5906655"/>
    <n v="4725324"/>
    <s v="Asunción"/>
    <n v="5906655"/>
    <n v="4725324"/>
    <n v="1181331"/>
    <n v="0.2"/>
  </r>
  <r>
    <d v="2024-03-24T00:00:00"/>
    <x v="0"/>
    <s v="Cliente Final"/>
    <x v="2"/>
    <s v="Básico"/>
    <s v="TV LED 32&quot;"/>
    <n v="1"/>
    <n v="941591"/>
    <n v="659113"/>
    <s v="Lambaré"/>
    <n v="941591"/>
    <n v="659113"/>
    <n v="282478"/>
    <n v="0.30000074342256883"/>
  </r>
  <r>
    <d v="2024-03-31T00:00:00"/>
    <x v="0"/>
    <s v="Cliente Final"/>
    <x v="0"/>
    <s v="Premium"/>
    <s v="Lavarropas Inverter"/>
    <n v="1"/>
    <n v="4964800"/>
    <n v="3971840"/>
    <s v="Asunción"/>
    <n v="4964800"/>
    <n v="3971840"/>
    <n v="992960"/>
    <n v="0.2"/>
  </r>
  <r>
    <d v="2024-04-26T00:00:00"/>
    <x v="3"/>
    <s v="Cliente Final"/>
    <x v="4"/>
    <s v="Medio"/>
    <s v="Split 12000 BTU"/>
    <n v="1"/>
    <n v="4208304"/>
    <n v="3156228"/>
    <s v="Luque"/>
    <n v="4208304"/>
    <n v="3156228"/>
    <n v="1052076"/>
    <n v="0.25"/>
  </r>
  <r>
    <d v="2024-03-27T00:00:00"/>
    <x v="1"/>
    <s v="Cliente Final"/>
    <x v="2"/>
    <s v="Medio"/>
    <s v="Smart TV 50&quot;"/>
    <n v="1"/>
    <n v="1877568"/>
    <n v="1408176"/>
    <s v="Asunción"/>
    <n v="1877568"/>
    <n v="1408176"/>
    <n v="469392"/>
    <n v="0.25"/>
  </r>
  <r>
    <d v="2024-04-30T00:00:00"/>
    <x v="2"/>
    <s v="Cliente Final"/>
    <x v="3"/>
    <s v="Básico"/>
    <s v="Heladera Básica 250L"/>
    <n v="1"/>
    <n v="2558899"/>
    <n v="1919174"/>
    <s v="Fernando de la Mora"/>
    <n v="2558899"/>
    <n v="1919174"/>
    <n v="639725"/>
    <n v="0.25000009769826786"/>
  </r>
  <r>
    <d v="2024-06-09T00:00:00"/>
    <x v="1"/>
    <s v="Cliente Final"/>
    <x v="0"/>
    <s v="Básico"/>
    <s v="Lavarropas Semiautomático"/>
    <n v="1"/>
    <n v="2704848"/>
    <n v="2028636"/>
    <s v="Luque"/>
    <n v="2704848"/>
    <n v="2028636"/>
    <n v="676212"/>
    <n v="0.25"/>
  </r>
  <r>
    <d v="2024-06-03T00:00:00"/>
    <x v="2"/>
    <s v="Cliente Final"/>
    <x v="3"/>
    <s v="Básico"/>
    <s v="Heladera Básica 250L"/>
    <n v="1"/>
    <n v="2711515"/>
    <n v="2033636"/>
    <s v="San Lorenzo"/>
    <n v="2711515"/>
    <n v="2033636"/>
    <n v="677879"/>
    <n v="0.2500000921993793"/>
  </r>
  <r>
    <d v="2024-01-13T00:00:00"/>
    <x v="2"/>
    <s v="Cliente Final"/>
    <x v="1"/>
    <s v="Básico"/>
    <s v="Licuadora Básica"/>
    <n v="3"/>
    <n v="554671"/>
    <n v="332802"/>
    <s v="Lambaré"/>
    <n v="1664013"/>
    <n v="998406"/>
    <n v="665607"/>
    <n v="0.4000010817223183"/>
  </r>
  <r>
    <d v="2024-04-07T00:00:00"/>
    <x v="0"/>
    <s v="Cliente Final"/>
    <x v="3"/>
    <s v="Medio"/>
    <s v="Heladera Inverter 300L"/>
    <n v="1"/>
    <n v="3268198"/>
    <n v="2549194"/>
    <s v="Lambaré"/>
    <n v="3268198"/>
    <n v="2549194"/>
    <n v="719004"/>
    <n v="0.22000013463076595"/>
  </r>
  <r>
    <d v="2024-06-29T00:00:00"/>
    <x v="0"/>
    <s v="Cliente Final"/>
    <x v="4"/>
    <s v="Medio"/>
    <s v="Split 12000 BTU"/>
    <n v="1"/>
    <n v="5479968"/>
    <n v="4109976"/>
    <s v="Lambaré"/>
    <n v="5479968"/>
    <n v="4109976"/>
    <n v="1369992"/>
    <n v="0.25"/>
  </r>
  <r>
    <d v="2024-04-19T00:00:00"/>
    <x v="3"/>
    <s v="Cliente Final"/>
    <x v="3"/>
    <s v="Premium"/>
    <s v="Heladera Premium 450L"/>
    <n v="1"/>
    <n v="6478318"/>
    <n v="5182654"/>
    <s v="Fernando de la Mora"/>
    <n v="6478318"/>
    <n v="5182654"/>
    <n v="1295664"/>
    <n v="0.20000006174442192"/>
  </r>
  <r>
    <d v="2024-06-22T00:00:00"/>
    <x v="3"/>
    <s v="Cliente Final"/>
    <x v="1"/>
    <s v="Premium"/>
    <s v="Procesadora Premium"/>
    <n v="1"/>
    <n v="1858669"/>
    <n v="1301068"/>
    <s v="San Lorenzo"/>
    <n v="1858669"/>
    <n v="1301068"/>
    <n v="557601"/>
    <n v="0.3000001614058232"/>
  </r>
  <r>
    <d v="2024-02-11T00:00:00"/>
    <x v="2"/>
    <s v="Cliente Final"/>
    <x v="4"/>
    <s v="Medio"/>
    <s v="Split 12000 BTU"/>
    <n v="1"/>
    <n v="5283286"/>
    <n v="3962464"/>
    <s v="Asunción"/>
    <n v="5283286"/>
    <n v="3962464"/>
    <n v="1320822"/>
    <n v="0.25000009463807182"/>
  </r>
  <r>
    <d v="2024-01-09T00:00:00"/>
    <x v="1"/>
    <s v="Cliente Final"/>
    <x v="4"/>
    <s v="Básico"/>
    <s v="Aire Ventana"/>
    <n v="1"/>
    <n v="2608435"/>
    <n v="1878073"/>
    <s v="Lambaré"/>
    <n v="2608435"/>
    <n v="1878073"/>
    <n v="730362"/>
    <n v="0.28000007667432769"/>
  </r>
  <r>
    <d v="2024-02-03T00:00:00"/>
    <x v="2"/>
    <s v="Cliente Final"/>
    <x v="0"/>
    <s v="Premium"/>
    <s v="Lavarropas Inverter"/>
    <n v="1"/>
    <n v="4952671"/>
    <n v="3962136"/>
    <s v="Asunción"/>
    <n v="4952671"/>
    <n v="3962136"/>
    <n v="990535"/>
    <n v="0.20000016152900121"/>
  </r>
  <r>
    <d v="2024-05-27T00:00:00"/>
    <x v="3"/>
    <s v="Cliente Final"/>
    <x v="4"/>
    <s v="Básico"/>
    <s v="Aire Ventana"/>
    <n v="1"/>
    <n v="2979486"/>
    <n v="2145229"/>
    <s v="Fernando de la Mora"/>
    <n v="2979486"/>
    <n v="2145229"/>
    <n v="834257"/>
    <n v="0.28000030877809123"/>
  </r>
  <r>
    <d v="2024-05-23T00:00:00"/>
    <x v="2"/>
    <s v="Cliente Final"/>
    <x v="1"/>
    <s v="Premium"/>
    <s v="Procesadora Premium"/>
    <n v="2"/>
    <n v="1867424"/>
    <n v="1307196"/>
    <s v="Luque"/>
    <n v="3734848"/>
    <n v="2614392"/>
    <n v="1120456"/>
    <n v="0.30000042839762153"/>
  </r>
  <r>
    <d v="2024-03-15T00:00:00"/>
    <x v="0"/>
    <s v="Cliente Final"/>
    <x v="1"/>
    <s v="Básico"/>
    <s v="Licuadora Básica"/>
    <n v="1"/>
    <n v="565078"/>
    <n v="339046"/>
    <s v="Lambaré"/>
    <n v="565078"/>
    <n v="339046"/>
    <n v="226032"/>
    <n v="0.40000141573375708"/>
  </r>
  <r>
    <d v="2024-05-03T00:00:00"/>
    <x v="3"/>
    <s v="Cliente Final"/>
    <x v="4"/>
    <s v="Básico"/>
    <s v="Aire Ventana"/>
    <n v="1"/>
    <n v="3149591"/>
    <n v="2267705"/>
    <s v="Fernando de la Mora"/>
    <n v="3149591"/>
    <n v="2267705"/>
    <n v="881886"/>
    <n v="0.280000165100802"/>
  </r>
  <r>
    <d v="2024-04-04T00:00:00"/>
    <x v="1"/>
    <s v="Cliente Final"/>
    <x v="3"/>
    <s v="Premium"/>
    <s v="Heladera Premium 450L"/>
    <n v="1"/>
    <n v="7079490"/>
    <n v="5663592"/>
    <s v="Asunción"/>
    <n v="7079490"/>
    <n v="5663592"/>
    <n v="1415898"/>
    <n v="0.2"/>
  </r>
  <r>
    <d v="2024-03-16T00:00:00"/>
    <x v="1"/>
    <s v="Cliente Final"/>
    <x v="2"/>
    <s v="Premium"/>
    <s v="Smart TV 65&quot; 4K"/>
    <n v="1"/>
    <n v="2848669"/>
    <n v="2278935"/>
    <s v="Luque"/>
    <n v="2848669"/>
    <n v="2278935"/>
    <n v="569734"/>
    <n v="0.20000007020822708"/>
  </r>
  <r>
    <d v="2024-04-04T00:00:00"/>
    <x v="2"/>
    <s v="Cliente Final"/>
    <x v="0"/>
    <s v="Premium"/>
    <s v="Lavarropas Inverter"/>
    <n v="1"/>
    <n v="4155026"/>
    <n v="3324020"/>
    <s v="Asunción"/>
    <n v="4155026"/>
    <n v="3324020"/>
    <n v="831006"/>
    <n v="0.20000019253790469"/>
  </r>
  <r>
    <d v="2024-06-27T00:00:00"/>
    <x v="0"/>
    <s v="Cliente Final"/>
    <x v="4"/>
    <s v="Premium"/>
    <s v="Split Inverter"/>
    <n v="1"/>
    <n v="6659064"/>
    <n v="5327251"/>
    <s v="San Lorenzo"/>
    <n v="6659064"/>
    <n v="5327251"/>
    <n v="1331813"/>
    <n v="0.20000003003425107"/>
  </r>
  <r>
    <d v="2024-05-30T00:00:00"/>
    <x v="1"/>
    <s v="Cliente Final"/>
    <x v="0"/>
    <s v="Premium"/>
    <s v="Lavarropas Inverter"/>
    <n v="1"/>
    <n v="5184358"/>
    <n v="4147486"/>
    <s v="Lambaré"/>
    <n v="5184358"/>
    <n v="4147486"/>
    <n v="1036872"/>
    <n v="0.2000000771551656"/>
  </r>
  <r>
    <d v="2024-03-25T00:00:00"/>
    <x v="0"/>
    <s v="Cliente Final"/>
    <x v="1"/>
    <s v="Premium"/>
    <s v="Procesadora Premium"/>
    <n v="2"/>
    <n v="1488681"/>
    <n v="1042076"/>
    <s v="San Lorenzo"/>
    <n v="2977362"/>
    <n v="2084152"/>
    <n v="893210"/>
    <n v="0.30000047021490839"/>
  </r>
  <r>
    <d v="2024-01-17T00:00:00"/>
    <x v="3"/>
    <s v="Cliente Final"/>
    <x v="1"/>
    <s v="Medio"/>
    <s v="Cafetera Eléctrica"/>
    <n v="2"/>
    <n v="787113"/>
    <n v="511623"/>
    <s v="Lambaré"/>
    <n v="1574226"/>
    <n v="1023246"/>
    <n v="550980"/>
    <n v="0.35000057170952581"/>
  </r>
  <r>
    <d v="2024-04-02T00:00:00"/>
    <x v="3"/>
    <s v="Cliente Final"/>
    <x v="0"/>
    <s v="Medio"/>
    <s v="Lavarropas Automático"/>
    <n v="1"/>
    <n v="3110690"/>
    <n v="2426338"/>
    <s v="Asunción"/>
    <n v="3110690"/>
    <n v="2426338"/>
    <n v="684352"/>
    <n v="0.22000006429441699"/>
  </r>
  <r>
    <d v="2024-06-26T00:00:00"/>
    <x v="1"/>
    <s v="Cliente Final"/>
    <x v="4"/>
    <s v="Medio"/>
    <s v="Split 12000 BTU"/>
    <n v="1"/>
    <n v="4325294"/>
    <n v="3243970"/>
    <s v="Luque"/>
    <n v="4325294"/>
    <n v="3243970"/>
    <n v="1081324"/>
    <n v="0.25000011559907837"/>
  </r>
  <r>
    <d v="2024-03-18T00:00:00"/>
    <x v="3"/>
    <s v="Cliente Final"/>
    <x v="4"/>
    <s v="Premium"/>
    <s v="Split Inverter"/>
    <n v="1"/>
    <n v="6614164"/>
    <n v="5291331"/>
    <s v="Fernando de la Mora"/>
    <n v="6614164"/>
    <n v="5291331"/>
    <n v="1322833"/>
    <n v="0.20000003023813742"/>
  </r>
  <r>
    <d v="2024-01-15T00:00:00"/>
    <x v="0"/>
    <s v="Cliente Final"/>
    <x v="4"/>
    <s v="Medio"/>
    <s v="Split 12000 BTU"/>
    <n v="1"/>
    <n v="5270228"/>
    <n v="3952671"/>
    <s v="Asunción"/>
    <n v="5270228"/>
    <n v="3952671"/>
    <n v="1317557"/>
    <n v="0.25"/>
  </r>
  <r>
    <d v="2024-03-02T00:00:00"/>
    <x v="2"/>
    <s v="Cliente Final"/>
    <x v="1"/>
    <s v="Básico"/>
    <s v="Licuadora Básica"/>
    <n v="2"/>
    <n v="291639"/>
    <n v="174983"/>
    <s v="San Lorenzo"/>
    <n v="583278"/>
    <n v="349966"/>
    <n v="233312"/>
    <n v="0.40000137155867355"/>
  </r>
  <r>
    <d v="2024-01-06T00:00:00"/>
    <x v="1"/>
    <s v="Cliente Final"/>
    <x v="1"/>
    <s v="Premium"/>
    <s v="Procesadora Premium"/>
    <n v="3"/>
    <n v="1818981"/>
    <n v="1273286"/>
    <s v="Fernando de la Mora"/>
    <n v="5456943"/>
    <n v="3819858"/>
    <n v="1637085"/>
    <n v="0.30000038483084762"/>
  </r>
  <r>
    <d v="2024-02-10T00:00:00"/>
    <x v="1"/>
    <s v="Cliente Final"/>
    <x v="4"/>
    <s v="Básico"/>
    <s v="Aire Ventana"/>
    <n v="1"/>
    <n v="2176053"/>
    <n v="1566758"/>
    <s v="Fernando de la Mora"/>
    <n v="2176053"/>
    <n v="1566758"/>
    <n v="609295"/>
    <n v="0.28000007352762091"/>
  </r>
  <r>
    <d v="2024-01-22T00:00:00"/>
    <x v="3"/>
    <s v="Cliente Final"/>
    <x v="2"/>
    <s v="Básico"/>
    <s v="TV LED 32&quot;"/>
    <n v="1"/>
    <n v="822530"/>
    <n v="575771"/>
    <s v="Fernando de la Mora"/>
    <n v="822530"/>
    <n v="575771"/>
    <n v="246759"/>
    <n v="0.3"/>
  </r>
  <r>
    <d v="2024-04-25T00:00:00"/>
    <x v="0"/>
    <s v="Cliente Final"/>
    <x v="0"/>
    <s v="Premium"/>
    <s v="Lavarropas Inverter"/>
    <n v="1"/>
    <n v="4086050"/>
    <n v="3268840"/>
    <s v="Fernando de la Mora"/>
    <n v="4086050"/>
    <n v="3268840"/>
    <n v="817210"/>
    <n v="0.2"/>
  </r>
  <r>
    <d v="2024-02-12T00:00:00"/>
    <x v="3"/>
    <s v="Cliente Final"/>
    <x v="3"/>
    <s v="Medio"/>
    <s v="Heladera Inverter 300L"/>
    <n v="1"/>
    <n v="3276643"/>
    <n v="2555781"/>
    <s v="Lambaré"/>
    <n v="3276643"/>
    <n v="2555781"/>
    <n v="720862"/>
    <n v="0.220000164802818"/>
  </r>
  <r>
    <d v="2024-06-20T00:00:00"/>
    <x v="3"/>
    <s v="Cliente Final"/>
    <x v="3"/>
    <s v="Medio"/>
    <s v="Heladera Inverter 300L"/>
    <n v="1"/>
    <n v="4821414"/>
    <n v="3760702"/>
    <s v="San Lorenzo"/>
    <n v="4821414"/>
    <n v="3760702"/>
    <n v="1060712"/>
    <n v="0.22000019081539149"/>
  </r>
  <r>
    <d v="2024-06-26T00:00:00"/>
    <x v="0"/>
    <s v="Cliente Final"/>
    <x v="2"/>
    <s v="Premium"/>
    <s v="Smart TV 65&quot; 4K"/>
    <n v="1"/>
    <n v="3243551"/>
    <n v="2594840"/>
    <s v="Fernando de la Mora"/>
    <n v="3243551"/>
    <n v="2594840"/>
    <n v="648711"/>
    <n v="0.20000024664326227"/>
  </r>
  <r>
    <d v="2024-04-25T00:00:00"/>
    <x v="0"/>
    <s v="Cliente Final"/>
    <x v="0"/>
    <s v="Básico"/>
    <s v="Lavarropas Semiautomático"/>
    <n v="1"/>
    <n v="2108659"/>
    <n v="1581494"/>
    <s v="Lambaré"/>
    <n v="2108659"/>
    <n v="1581494"/>
    <n v="527165"/>
    <n v="0.25000011855876175"/>
  </r>
  <r>
    <d v="2024-01-09T00:00:00"/>
    <x v="1"/>
    <s v="Cliente Final"/>
    <x v="0"/>
    <s v="Premium"/>
    <s v="Lavarropas Inverter"/>
    <n v="1"/>
    <n v="5326797"/>
    <n v="4261437"/>
    <s v="San Lorenzo"/>
    <n v="5326797"/>
    <n v="4261437"/>
    <n v="1065360"/>
    <n v="0.20000011263804496"/>
  </r>
  <r>
    <d v="2024-01-27T00:00:00"/>
    <x v="2"/>
    <s v="Cliente Final"/>
    <x v="1"/>
    <s v="Básico"/>
    <s v="Licuadora Básica"/>
    <n v="2"/>
    <n v="562334"/>
    <n v="337400"/>
    <s v="Asunción"/>
    <n v="1124668"/>
    <n v="674800"/>
    <n v="449868"/>
    <n v="0.40000071132102988"/>
  </r>
  <r>
    <d v="2024-06-17T00:00:00"/>
    <x v="2"/>
    <s v="Cliente Final"/>
    <x v="3"/>
    <s v="Básico"/>
    <s v="Heladera Básica 250L"/>
    <n v="1"/>
    <n v="2914795"/>
    <n v="2186096"/>
    <s v="Fernando de la Mora"/>
    <n v="2914795"/>
    <n v="2186096"/>
    <n v="728699"/>
    <n v="0.25000008576932514"/>
  </r>
  <r>
    <d v="2024-03-17T00:00:00"/>
    <x v="2"/>
    <s v="Cliente Final"/>
    <x v="0"/>
    <s v="Premium"/>
    <s v="Lavarropas Inverter"/>
    <n v="1"/>
    <n v="4747276"/>
    <n v="3797820"/>
    <s v="Asunción"/>
    <n v="4747276"/>
    <n v="3797820"/>
    <n v="949456"/>
    <n v="0.20000016851769309"/>
  </r>
  <r>
    <d v="2024-03-09T00:00:00"/>
    <x v="0"/>
    <s v="Cliente Final"/>
    <x v="0"/>
    <s v="Medio"/>
    <s v="Lavarropas Automático"/>
    <n v="1"/>
    <n v="3092031"/>
    <n v="2411784"/>
    <s v="Asunción"/>
    <n v="3092031"/>
    <n v="2411784"/>
    <n v="680247"/>
    <n v="0.2200000582141641"/>
  </r>
  <r>
    <d v="2024-01-28T00:00:00"/>
    <x v="3"/>
    <s v="Cliente Final"/>
    <x v="2"/>
    <s v="Medio"/>
    <s v="Smart TV 50&quot;"/>
    <n v="1"/>
    <n v="1703034"/>
    <n v="1277275"/>
    <s v="Fernando de la Mora"/>
    <n v="1703034"/>
    <n v="1277275"/>
    <n v="425759"/>
    <n v="0.25000029359366871"/>
  </r>
  <r>
    <d v="2024-02-23T00:00:00"/>
    <x v="3"/>
    <s v="Cliente Final"/>
    <x v="2"/>
    <s v="Básico"/>
    <s v="TV LED 32&quot;"/>
    <n v="1"/>
    <n v="1042059"/>
    <n v="729441"/>
    <s v="San Lorenzo"/>
    <n v="1042059"/>
    <n v="729441"/>
    <n v="312618"/>
    <n v="0.30000028789156852"/>
  </r>
  <r>
    <d v="2024-01-07T00:00:00"/>
    <x v="0"/>
    <s v="Cliente Final"/>
    <x v="2"/>
    <s v="Básico"/>
    <s v="TV LED 32&quot;"/>
    <n v="1"/>
    <n v="1005654"/>
    <n v="703957"/>
    <s v="San Lorenzo"/>
    <n v="1005654"/>
    <n v="703957"/>
    <n v="301697"/>
    <n v="0.30000079550223041"/>
  </r>
  <r>
    <d v="2024-05-03T00:00:00"/>
    <x v="2"/>
    <s v="Cliente Final"/>
    <x v="0"/>
    <s v="Básico"/>
    <s v="Lavarropas Semiautomático"/>
    <n v="1"/>
    <n v="2458449"/>
    <n v="1843836"/>
    <s v="Luque"/>
    <n v="2458449"/>
    <n v="1843836"/>
    <n v="614613"/>
    <n v="0.25000030507039195"/>
  </r>
  <r>
    <d v="2024-03-06T00:00:00"/>
    <x v="0"/>
    <s v="Cliente Final"/>
    <x v="1"/>
    <s v="Premium"/>
    <s v="Procesadora Premium"/>
    <n v="3"/>
    <n v="1548569"/>
    <n v="1083998"/>
    <s v="Asunción"/>
    <n v="4645707"/>
    <n v="3251994"/>
    <n v="1393713"/>
    <n v="0.30000019372724107"/>
  </r>
  <r>
    <d v="2024-05-16T00:00:00"/>
    <x v="0"/>
    <s v="Cliente Final"/>
    <x v="0"/>
    <s v="Premium"/>
    <s v="Lavarropas Inverter"/>
    <n v="1"/>
    <n v="4798160"/>
    <n v="3838528"/>
    <s v="Asunción"/>
    <n v="4798160"/>
    <n v="3838528"/>
    <n v="959632"/>
    <n v="0.2"/>
  </r>
  <r>
    <d v="2024-05-30T00:00:00"/>
    <x v="0"/>
    <s v="Cliente Final"/>
    <x v="1"/>
    <s v="Básico"/>
    <s v="Licuadora Básica"/>
    <n v="3"/>
    <n v="310774"/>
    <n v="186464"/>
    <s v="Asunción"/>
    <n v="932322"/>
    <n v="559392"/>
    <n v="372930"/>
    <n v="0.40000128710896021"/>
  </r>
  <r>
    <d v="2024-01-04T00:00:00"/>
    <x v="3"/>
    <s v="Cliente Final"/>
    <x v="1"/>
    <s v="Premium"/>
    <s v="Procesadora Premium"/>
    <n v="2"/>
    <n v="1664812"/>
    <n v="1165368"/>
    <s v="Asunción"/>
    <n v="3329624"/>
    <n v="2330736"/>
    <n v="998888"/>
    <n v="0.30000024026736954"/>
  </r>
  <r>
    <d v="2024-01-12T00:00:00"/>
    <x v="1"/>
    <s v="Cliente Final"/>
    <x v="1"/>
    <s v="Básico"/>
    <s v="Licuadora Básica"/>
    <n v="2"/>
    <n v="393325"/>
    <n v="235995"/>
    <s v="San Lorenzo"/>
    <n v="786650"/>
    <n v="471990"/>
    <n v="314660"/>
    <n v="0.4"/>
  </r>
  <r>
    <d v="2024-01-25T00:00:00"/>
    <x v="1"/>
    <s v="Cliente Final"/>
    <x v="3"/>
    <s v="Premium"/>
    <s v="Heladera Premium 450L"/>
    <n v="1"/>
    <n v="5455434"/>
    <n v="4364347"/>
    <s v="Fernando de la Mora"/>
    <n v="5455434"/>
    <n v="4364347"/>
    <n v="1091087"/>
    <n v="0.20000003666069463"/>
  </r>
  <r>
    <d v="2024-04-18T00:00:00"/>
    <x v="3"/>
    <s v="Cliente Final"/>
    <x v="1"/>
    <s v="Premium"/>
    <s v="Procesadora Premium"/>
    <n v="2"/>
    <n v="1898133"/>
    <n v="1328693"/>
    <s v="Lambaré"/>
    <n v="3796266"/>
    <n v="2657386"/>
    <n v="1138880"/>
    <n v="0.30000005268334728"/>
  </r>
  <r>
    <d v="2024-05-10T00:00:00"/>
    <x v="1"/>
    <s v="Cliente Final"/>
    <x v="1"/>
    <s v="Básico"/>
    <s v="Licuadora Básica"/>
    <n v="1"/>
    <n v="541413"/>
    <n v="324847"/>
    <s v="Fernando de la Mora"/>
    <n v="541413"/>
    <n v="324847"/>
    <n v="216566"/>
    <n v="0.40000147761505545"/>
  </r>
  <r>
    <d v="2024-05-25T00:00:00"/>
    <x v="0"/>
    <s v="Cliente Final"/>
    <x v="1"/>
    <s v="Medio"/>
    <s v="Cafetera Eléctrica"/>
    <n v="2"/>
    <n v="928292"/>
    <n v="603389"/>
    <s v="San Lorenzo"/>
    <n v="1856584"/>
    <n v="1206778"/>
    <n v="649806"/>
    <n v="0.35000086179779638"/>
  </r>
  <r>
    <d v="2024-03-26T00:00:00"/>
    <x v="1"/>
    <s v="Cliente Final"/>
    <x v="3"/>
    <s v="Medio"/>
    <s v="Heladera Inverter 300L"/>
    <n v="1"/>
    <n v="3906666"/>
    <n v="3047199"/>
    <s v="Fernando de la Mora"/>
    <n v="3906666"/>
    <n v="3047199"/>
    <n v="859467"/>
    <n v="0.22000012286691517"/>
  </r>
  <r>
    <d v="2024-04-15T00:00:00"/>
    <x v="0"/>
    <s v="Cliente Final"/>
    <x v="0"/>
    <s v="Básico"/>
    <s v="Lavarropas Semiautomático"/>
    <n v="1"/>
    <n v="2185634"/>
    <n v="1639225"/>
    <s v="San Lorenzo"/>
    <n v="2185634"/>
    <n v="1639225"/>
    <n v="546409"/>
    <n v="0.25000022876657302"/>
  </r>
  <r>
    <d v="2024-04-13T00:00:00"/>
    <x v="1"/>
    <s v="Cliente Final"/>
    <x v="3"/>
    <s v="Medio"/>
    <s v="Heladera Inverter 300L"/>
    <n v="1"/>
    <n v="4749561"/>
    <n v="3704657"/>
    <s v="Fernando de la Mora"/>
    <n v="4749561"/>
    <n v="3704657"/>
    <n v="1044904"/>
    <n v="0.22000012211654929"/>
  </r>
  <r>
    <d v="2024-01-17T00:00:00"/>
    <x v="3"/>
    <s v="Cliente Final"/>
    <x v="4"/>
    <s v="Básico"/>
    <s v="Aire Ventana"/>
    <n v="1"/>
    <n v="3188211"/>
    <n v="2295511"/>
    <s v="Luque"/>
    <n v="3188211"/>
    <n v="2295511"/>
    <n v="892700"/>
    <n v="0.28000028856308445"/>
  </r>
  <r>
    <d v="2024-05-11T00:00:00"/>
    <x v="0"/>
    <s v="Cliente Final"/>
    <x v="3"/>
    <s v="Medio"/>
    <s v="Heladera Inverter 300L"/>
    <n v="1"/>
    <n v="4147633"/>
    <n v="3235153"/>
    <s v="San Lorenzo"/>
    <n v="4147633"/>
    <n v="3235153"/>
    <n v="912480"/>
    <n v="0.22000017841501407"/>
  </r>
  <r>
    <d v="2024-01-18T00:00:00"/>
    <x v="1"/>
    <s v="Cliente Final"/>
    <x v="4"/>
    <s v="Básico"/>
    <s v="Aire Ventana"/>
    <n v="1"/>
    <n v="2942887"/>
    <n v="2118878"/>
    <s v="Luque"/>
    <n v="2942887"/>
    <n v="2118878"/>
    <n v="824009"/>
    <n v="0.28000021747352177"/>
  </r>
  <r>
    <d v="2024-04-20T00:00:00"/>
    <x v="2"/>
    <s v="Cliente Final"/>
    <x v="4"/>
    <s v="Medio"/>
    <s v="Split 12000 BTU"/>
    <n v="1"/>
    <n v="3847539"/>
    <n v="2885654"/>
    <s v="Lambaré"/>
    <n v="3847539"/>
    <n v="2885654"/>
    <n v="961885"/>
    <n v="0.25000006497659932"/>
  </r>
  <r>
    <d v="2024-04-02T00:00:00"/>
    <x v="2"/>
    <s v="Cliente Final"/>
    <x v="4"/>
    <s v="Medio"/>
    <s v="Split 12000 BTU"/>
    <n v="1"/>
    <n v="5206078"/>
    <n v="3904558"/>
    <s v="Luque"/>
    <n v="5206078"/>
    <n v="3904558"/>
    <n v="1301520"/>
    <n v="0.25000009604158829"/>
  </r>
  <r>
    <d v="2024-03-09T00:00:00"/>
    <x v="2"/>
    <s v="Cliente Final"/>
    <x v="1"/>
    <s v="Premium"/>
    <s v="Procesadora Premium"/>
    <n v="1"/>
    <n v="1208244"/>
    <n v="845770"/>
    <s v="San Lorenzo"/>
    <n v="1208244"/>
    <n v="845770"/>
    <n v="362474"/>
    <n v="0.30000066211791659"/>
  </r>
  <r>
    <d v="2024-02-28T00:00:00"/>
    <x v="3"/>
    <s v="Cliente Final"/>
    <x v="0"/>
    <s v="Medio"/>
    <s v="Lavarropas Automático"/>
    <n v="1"/>
    <n v="2816238"/>
    <n v="2196665"/>
    <s v="San Lorenzo"/>
    <n v="2816238"/>
    <n v="2196665"/>
    <n v="619573"/>
    <n v="0.22000022725352048"/>
  </r>
  <r>
    <d v="2024-03-23T00:00:00"/>
    <x v="2"/>
    <s v="Cliente Final"/>
    <x v="0"/>
    <s v="Básico"/>
    <s v="Lavarropas Semiautomático"/>
    <n v="1"/>
    <n v="1972424"/>
    <n v="1479318"/>
    <s v="Asunción"/>
    <n v="1972424"/>
    <n v="1479318"/>
    <n v="493106"/>
    <n v="0.25"/>
  </r>
  <r>
    <d v="2024-06-14T00:00:00"/>
    <x v="2"/>
    <s v="Cliente Final"/>
    <x v="3"/>
    <s v="Básico"/>
    <s v="Heladera Básica 250L"/>
    <n v="1"/>
    <n v="3120887"/>
    <n v="2340665"/>
    <s v="Asunción"/>
    <n v="3120887"/>
    <n v="2340665"/>
    <n v="780222"/>
    <n v="0.25000008010543157"/>
  </r>
  <r>
    <d v="2024-05-24T00:00:00"/>
    <x v="1"/>
    <s v="Cliente Final"/>
    <x v="4"/>
    <s v="Premium"/>
    <s v="Split Inverter"/>
    <n v="1"/>
    <n v="7391972"/>
    <n v="5913577"/>
    <s v="Lambaré"/>
    <n v="7391972"/>
    <n v="5913577"/>
    <n v="1478395"/>
    <n v="0.20000008116913862"/>
  </r>
  <r>
    <d v="2024-06-01T00:00:00"/>
    <x v="2"/>
    <s v="Cliente Final"/>
    <x v="1"/>
    <s v="Básico"/>
    <s v="Licuadora Básica"/>
    <n v="1"/>
    <n v="187404"/>
    <n v="112442"/>
    <s v="San Lorenzo"/>
    <n v="187404"/>
    <n v="112442"/>
    <n v="74962"/>
    <n v="0.40000213442615951"/>
  </r>
  <r>
    <d v="2024-01-28T00:00:00"/>
    <x v="3"/>
    <s v="Cliente Final"/>
    <x v="3"/>
    <s v="Básico"/>
    <s v="Heladera Básica 250L"/>
    <n v="1"/>
    <n v="3134222"/>
    <n v="2350666"/>
    <s v="San Lorenzo"/>
    <n v="3134222"/>
    <n v="2350666"/>
    <n v="783556"/>
    <n v="0.25000015952922289"/>
  </r>
  <r>
    <d v="2024-05-19T00:00:00"/>
    <x v="3"/>
    <s v="Cliente Final"/>
    <x v="1"/>
    <s v="Premium"/>
    <s v="Procesadora Premium"/>
    <n v="2"/>
    <n v="1303008"/>
    <n v="912105"/>
    <s v="Luque"/>
    <n v="2606016"/>
    <n v="1824210"/>
    <n v="781806"/>
    <n v="0.30000046047299789"/>
  </r>
  <r>
    <d v="2024-01-11T00:00:00"/>
    <x v="3"/>
    <s v="Cliente Final"/>
    <x v="2"/>
    <s v="Premium"/>
    <s v="Smart TV 65&quot; 4K"/>
    <n v="1"/>
    <n v="3342948"/>
    <n v="2674358"/>
    <s v="Luque"/>
    <n v="3342948"/>
    <n v="2674358"/>
    <n v="668590"/>
    <n v="0.2000001196548675"/>
  </r>
  <r>
    <d v="2024-05-19T00:00:00"/>
    <x v="2"/>
    <s v="Cliente Final"/>
    <x v="0"/>
    <s v="Básico"/>
    <s v="Lavarropas Semiautomático"/>
    <n v="1"/>
    <n v="2538776"/>
    <n v="1904082"/>
    <s v="San Lorenzo"/>
    <n v="2538776"/>
    <n v="1904082"/>
    <n v="634694"/>
    <n v="0.25"/>
  </r>
  <r>
    <d v="2024-06-10T00:00:00"/>
    <x v="2"/>
    <s v="Cliente Final"/>
    <x v="4"/>
    <s v="Medio"/>
    <s v="Split 12000 BTU"/>
    <n v="1"/>
    <n v="3769779"/>
    <n v="2827334"/>
    <s v="Lambaré"/>
    <n v="3769779"/>
    <n v="2827334"/>
    <n v="942445"/>
    <n v="0.25000006631688487"/>
  </r>
  <r>
    <d v="2024-02-25T00:00:00"/>
    <x v="1"/>
    <s v="Cliente Final"/>
    <x v="4"/>
    <s v="Básico"/>
    <s v="Aire Ventana"/>
    <n v="1"/>
    <n v="2429789"/>
    <n v="1749448"/>
    <s v="Fernando de la Mora"/>
    <n v="2429789"/>
    <n v="1749448"/>
    <n v="680341"/>
    <n v="0.28000003292466957"/>
  </r>
  <r>
    <d v="2024-01-05T00:00:00"/>
    <x v="1"/>
    <s v="Cliente Final"/>
    <x v="4"/>
    <s v="Medio"/>
    <s v="Split 12000 BTU"/>
    <n v="1"/>
    <n v="5147862"/>
    <n v="3860896"/>
    <s v="Luque"/>
    <n v="5147862"/>
    <n v="3860896"/>
    <n v="1286966"/>
    <n v="0.25000009712770077"/>
  </r>
  <r>
    <d v="2024-04-14T00:00:00"/>
    <x v="0"/>
    <s v="Cliente Final"/>
    <x v="3"/>
    <s v="Premium"/>
    <s v="Heladera Premium 450L"/>
    <n v="1"/>
    <n v="8534733"/>
    <n v="6827786"/>
    <s v="Luque"/>
    <n v="8534733"/>
    <n v="6827786"/>
    <n v="1706947"/>
    <n v="0.20000004686731265"/>
  </r>
  <r>
    <d v="2024-06-11T00:00:00"/>
    <x v="3"/>
    <s v="Cliente Final"/>
    <x v="1"/>
    <s v="Premium"/>
    <s v="Procesadora Premium"/>
    <n v="1"/>
    <n v="1724739"/>
    <n v="1207317"/>
    <s v="Luque"/>
    <n v="1724739"/>
    <n v="1207317"/>
    <n v="517422"/>
    <n v="0.30000017393936124"/>
  </r>
  <r>
    <d v="2024-06-10T00:00:00"/>
    <x v="1"/>
    <s v="Cliente Final"/>
    <x v="1"/>
    <s v="Básico"/>
    <s v="Licuadora Básica"/>
    <n v="3"/>
    <n v="258427"/>
    <n v="155056"/>
    <s v="San Lorenzo"/>
    <n v="775281"/>
    <n v="465168"/>
    <n v="310113"/>
    <n v="0.40000077391294253"/>
  </r>
  <r>
    <d v="2024-05-24T00:00:00"/>
    <x v="3"/>
    <s v="Cliente Final"/>
    <x v="3"/>
    <s v="Medio"/>
    <s v="Heladera Inverter 300L"/>
    <n v="1"/>
    <n v="3490470"/>
    <n v="2722566"/>
    <s v="San Lorenzo"/>
    <n v="3490470"/>
    <n v="2722566"/>
    <n v="767904"/>
    <n v="0.22000017189662138"/>
  </r>
  <r>
    <d v="2024-05-17T00:00:00"/>
    <x v="0"/>
    <s v="Cliente Final"/>
    <x v="1"/>
    <s v="Básico"/>
    <s v="Licuadora Básica"/>
    <n v="3"/>
    <n v="366228"/>
    <n v="219736"/>
    <s v="Lambaré"/>
    <n v="1098684"/>
    <n v="659208"/>
    <n v="439476"/>
    <n v="0.40000218443155627"/>
  </r>
  <r>
    <d v="2024-01-16T00:00:00"/>
    <x v="1"/>
    <s v="Cliente Final"/>
    <x v="0"/>
    <s v="Medio"/>
    <s v="Lavarropas Automático"/>
    <n v="1"/>
    <n v="3326146"/>
    <n v="2594393"/>
    <s v="Fernando de la Mora"/>
    <n v="3326146"/>
    <n v="2594393"/>
    <n v="731753"/>
    <n v="0.22000026457046684"/>
  </r>
  <r>
    <d v="2024-06-25T00:00:00"/>
    <x v="1"/>
    <s v="Cliente Final"/>
    <x v="3"/>
    <s v="Básico"/>
    <s v="Heladera Básica 250L"/>
    <n v="1"/>
    <n v="2244906"/>
    <n v="1683679"/>
    <s v="San Lorenzo"/>
    <n v="2244906"/>
    <n v="1683679"/>
    <n v="561227"/>
    <n v="0.25000022272647499"/>
  </r>
  <r>
    <d v="2024-05-12T00:00:00"/>
    <x v="2"/>
    <s v="Cliente Final"/>
    <x v="0"/>
    <s v="Básico"/>
    <s v="Lavarropas Semiautomático"/>
    <n v="1"/>
    <n v="2659848"/>
    <n v="1994886"/>
    <s v="San Lorenzo"/>
    <n v="2659848"/>
    <n v="1994886"/>
    <n v="664962"/>
    <n v="0.25"/>
  </r>
  <r>
    <d v="2024-01-30T00:00:00"/>
    <x v="3"/>
    <s v="Cliente Final"/>
    <x v="0"/>
    <s v="Premium"/>
    <s v="Lavarropas Inverter"/>
    <n v="1"/>
    <n v="4654768"/>
    <n v="3723814"/>
    <s v="Lambaré"/>
    <n v="4654768"/>
    <n v="3723814"/>
    <n v="930954"/>
    <n v="0.2000000859333913"/>
  </r>
  <r>
    <d v="2024-04-25T00:00:00"/>
    <x v="2"/>
    <s v="Cliente Final"/>
    <x v="1"/>
    <s v="Básico"/>
    <s v="Licuadora Básica"/>
    <n v="2"/>
    <n v="565212"/>
    <n v="339127"/>
    <s v="Fernando de la Mora"/>
    <n v="1130424"/>
    <n v="678254"/>
    <n v="452170"/>
    <n v="0.40000035384952903"/>
  </r>
  <r>
    <d v="2024-01-27T00:00:00"/>
    <x v="1"/>
    <s v="Cliente Final"/>
    <x v="4"/>
    <s v="Medio"/>
    <s v="Split 12000 BTU"/>
    <n v="1"/>
    <n v="5713122"/>
    <n v="4284841"/>
    <s v="Lambaré"/>
    <n v="5713122"/>
    <n v="4284841"/>
    <n v="1428281"/>
    <n v="0.25000008751782299"/>
  </r>
  <r>
    <d v="2024-01-20T00:00:00"/>
    <x v="0"/>
    <s v="Cliente Final"/>
    <x v="1"/>
    <s v="Medio"/>
    <s v="Cafetera Eléctrica"/>
    <n v="2"/>
    <n v="956858"/>
    <n v="621957"/>
    <s v="Lambaré"/>
    <n v="1913716"/>
    <n v="1243914"/>
    <n v="669802"/>
    <n v="0.35000073156100486"/>
  </r>
  <r>
    <d v="2024-03-22T00:00:00"/>
    <x v="0"/>
    <s v="Cliente Final"/>
    <x v="4"/>
    <s v="Básico"/>
    <s v="Aire Ventana"/>
    <n v="1"/>
    <n v="3028502"/>
    <n v="2180521"/>
    <s v="Luque"/>
    <n v="3028502"/>
    <n v="2180521"/>
    <n v="847981"/>
    <n v="0.28000014528634948"/>
  </r>
  <r>
    <d v="2024-06-17T00:00:00"/>
    <x v="1"/>
    <s v="Cliente Final"/>
    <x v="0"/>
    <s v="Básico"/>
    <s v="Lavarropas Semiautomático"/>
    <n v="1"/>
    <n v="2203807"/>
    <n v="1652855"/>
    <s v="San Lorenzo"/>
    <n v="2203807"/>
    <n v="1652855"/>
    <n v="550952"/>
    <n v="0.25000011344006079"/>
  </r>
  <r>
    <d v="2024-03-09T00:00:00"/>
    <x v="3"/>
    <s v="Cliente Final"/>
    <x v="2"/>
    <s v="Básico"/>
    <s v="TV LED 32&quot;"/>
    <n v="1"/>
    <n v="1045261"/>
    <n v="731682"/>
    <s v="Asunción"/>
    <n v="1045261"/>
    <n v="731682"/>
    <n v="313579"/>
    <n v="0.30000066968919725"/>
  </r>
  <r>
    <d v="2024-02-29T00:00:00"/>
    <x v="1"/>
    <s v="Cliente Final"/>
    <x v="2"/>
    <s v="Básico"/>
    <s v="TV LED 32&quot;"/>
    <n v="1"/>
    <n v="1065023"/>
    <n v="745516"/>
    <s v="Lambaré"/>
    <n v="1065023"/>
    <n v="745516"/>
    <n v="319507"/>
    <n v="0.30000009389468585"/>
  </r>
  <r>
    <d v="2024-01-06T00:00:00"/>
    <x v="0"/>
    <s v="Cliente Final"/>
    <x v="4"/>
    <s v="Básico"/>
    <s v="Aire Ventana"/>
    <n v="1"/>
    <n v="3495551"/>
    <n v="2516796"/>
    <s v="Fernando de la Mora"/>
    <n v="3495551"/>
    <n v="2516796"/>
    <n v="978755"/>
    <n v="0.28000020597611075"/>
  </r>
  <r>
    <d v="2024-02-05T00:00:00"/>
    <x v="2"/>
    <s v="Cliente Final"/>
    <x v="3"/>
    <s v="Medio"/>
    <s v="Heladera Inverter 300L"/>
    <n v="1"/>
    <n v="4386869"/>
    <n v="3421757"/>
    <s v="Fernando de la Mora"/>
    <n v="4386869"/>
    <n v="3421757"/>
    <n v="965112"/>
    <n v="0.2200001869214695"/>
  </r>
  <r>
    <d v="2024-06-06T00:00:00"/>
    <x v="2"/>
    <s v="Cliente Final"/>
    <x v="1"/>
    <s v="Medio"/>
    <s v="Cafetera Eléctrica"/>
    <n v="3"/>
    <n v="1038245"/>
    <n v="674859"/>
    <s v="San Lorenzo"/>
    <n v="3114735"/>
    <n v="2024577"/>
    <n v="1090158"/>
    <n v="0.3500002407909501"/>
  </r>
  <r>
    <d v="2024-04-07T00:00:00"/>
    <x v="1"/>
    <s v="Cliente Final"/>
    <x v="1"/>
    <s v="Medio"/>
    <s v="Cafetera Eléctrica"/>
    <n v="1"/>
    <n v="717954"/>
    <n v="466670"/>
    <s v="San Lorenzo"/>
    <n v="717954"/>
    <n v="466670"/>
    <n v="251284"/>
    <n v="0.35000013928468954"/>
  </r>
  <r>
    <d v="2024-02-10T00:00:00"/>
    <x v="2"/>
    <s v="Cliente Final"/>
    <x v="2"/>
    <s v="Premium"/>
    <s v="Smart TV 65&quot; 4K"/>
    <n v="1"/>
    <n v="2971004"/>
    <n v="2376803"/>
    <s v="Asunción"/>
    <n v="2971004"/>
    <n v="2376803"/>
    <n v="594201"/>
    <n v="0.2000000673173109"/>
  </r>
  <r>
    <d v="2024-01-24T00:00:00"/>
    <x v="3"/>
    <s v="Cliente Final"/>
    <x v="0"/>
    <s v="Básico"/>
    <s v="Lavarropas Semiautomático"/>
    <n v="1"/>
    <n v="2586520"/>
    <n v="1939890"/>
    <s v="Lambaré"/>
    <n v="2586520"/>
    <n v="1939890"/>
    <n v="646630"/>
    <n v="0.25"/>
  </r>
  <r>
    <d v="2024-04-13T00:00:00"/>
    <x v="2"/>
    <s v="Cliente Final"/>
    <x v="2"/>
    <s v="Básico"/>
    <s v="TV LED 32&quot;"/>
    <n v="1"/>
    <n v="993787"/>
    <n v="695650"/>
    <s v="Fernando de la Mora"/>
    <n v="993787"/>
    <n v="695650"/>
    <n v="298137"/>
    <n v="0.30000090562665843"/>
  </r>
  <r>
    <d v="2024-04-16T00:00:00"/>
    <x v="1"/>
    <s v="Cliente Final"/>
    <x v="4"/>
    <s v="Premium"/>
    <s v="Split Inverter"/>
    <n v="1"/>
    <n v="7668341"/>
    <n v="6134672"/>
    <s v="Fernando de la Mora"/>
    <n v="7668341"/>
    <n v="6134672"/>
    <n v="1533669"/>
    <n v="0.20000010432504239"/>
  </r>
  <r>
    <d v="2024-02-26T00:00:00"/>
    <x v="0"/>
    <s v="Cliente Final"/>
    <x v="4"/>
    <s v="Básico"/>
    <s v="Aire Ventana"/>
    <n v="1"/>
    <n v="2392734"/>
    <n v="1722768"/>
    <s v="Lambaré"/>
    <n v="2392734"/>
    <n v="1722768"/>
    <n v="669966"/>
    <n v="0.28000020060733871"/>
  </r>
  <r>
    <d v="2024-04-06T00:00:00"/>
    <x v="1"/>
    <s v="Cliente Final"/>
    <x v="1"/>
    <s v="Básico"/>
    <s v="Licuadora Básica"/>
    <n v="2"/>
    <n v="160894"/>
    <n v="96536"/>
    <s v="Lambaré"/>
    <n v="321788"/>
    <n v="193072"/>
    <n v="128716"/>
    <n v="0.40000248610886668"/>
  </r>
  <r>
    <d v="2024-02-20T00:00:00"/>
    <x v="0"/>
    <s v="Cliente Final"/>
    <x v="4"/>
    <s v="Premium"/>
    <s v="Split Inverter"/>
    <n v="1"/>
    <n v="6311853"/>
    <n v="5049482"/>
    <s v="Fernando de la Mora"/>
    <n v="6311853"/>
    <n v="5049482"/>
    <n v="1262371"/>
    <n v="0.20000006337283205"/>
  </r>
  <r>
    <d v="2024-06-26T00:00:00"/>
    <x v="3"/>
    <s v="Cliente Final"/>
    <x v="2"/>
    <s v="Básico"/>
    <s v="TV LED 32&quot;"/>
    <n v="1"/>
    <n v="1217387"/>
    <n v="852170"/>
    <s v="Lambaré"/>
    <n v="1217387"/>
    <n v="852170"/>
    <n v="365217"/>
    <n v="0.30000073928832821"/>
  </r>
  <r>
    <d v="2024-03-23T00:00:00"/>
    <x v="1"/>
    <s v="Cliente Final"/>
    <x v="4"/>
    <s v="Básico"/>
    <s v="Aire Ventana"/>
    <n v="1"/>
    <n v="3452861"/>
    <n v="2486059"/>
    <s v="Lambaré"/>
    <n v="3452861"/>
    <n v="2486059"/>
    <n v="966802"/>
    <n v="0.2800002664457098"/>
  </r>
  <r>
    <d v="2024-04-21T00:00:00"/>
    <x v="0"/>
    <s v="Cliente Final"/>
    <x v="0"/>
    <s v="Básico"/>
    <s v="Lavarropas Semiautomático"/>
    <n v="1"/>
    <n v="2390663"/>
    <n v="1792997"/>
    <s v="Luque"/>
    <n v="2390663"/>
    <n v="1792997"/>
    <n v="597666"/>
    <n v="0.25000010457350114"/>
  </r>
  <r>
    <d v="2024-04-09T00:00:00"/>
    <x v="3"/>
    <s v="Cliente Final"/>
    <x v="1"/>
    <s v="Medio"/>
    <s v="Cafetera Eléctrica"/>
    <n v="2"/>
    <n v="998898"/>
    <n v="649283"/>
    <s v="Luque"/>
    <n v="1997796"/>
    <n v="1298566"/>
    <n v="699230"/>
    <n v="0.35000070077225104"/>
  </r>
  <r>
    <d v="2024-06-14T00:00:00"/>
    <x v="1"/>
    <s v="Cliente Final"/>
    <x v="1"/>
    <s v="Básico"/>
    <s v="Licuadora Básica"/>
    <n v="1"/>
    <n v="237926"/>
    <n v="142755"/>
    <s v="Lambaré"/>
    <n v="237926"/>
    <n v="142755"/>
    <n v="95171"/>
    <n v="0.40000252179249013"/>
  </r>
  <r>
    <d v="2024-03-20T00:00:00"/>
    <x v="1"/>
    <s v="Cliente Final"/>
    <x v="4"/>
    <s v="Premium"/>
    <s v="Split Inverter"/>
    <n v="1"/>
    <n v="7617475"/>
    <n v="6093980"/>
    <s v="San Lorenzo"/>
    <n v="7617475"/>
    <n v="6093980"/>
    <n v="1523495"/>
    <n v="0.2"/>
  </r>
  <r>
    <d v="2024-01-25T00:00:00"/>
    <x v="2"/>
    <s v="Cliente Final"/>
    <x v="2"/>
    <s v="Medio"/>
    <s v="Smart TV 50&quot;"/>
    <n v="1"/>
    <n v="1952795"/>
    <n v="1464596"/>
    <s v="Fernando de la Mora"/>
    <n v="1952795"/>
    <n v="1464596"/>
    <n v="488199"/>
    <n v="0.25000012802163052"/>
  </r>
  <r>
    <d v="2024-02-26T00:00:00"/>
    <x v="2"/>
    <s v="Cliente Final"/>
    <x v="3"/>
    <s v="Básico"/>
    <s v="Heladera Básica 250L"/>
    <n v="1"/>
    <n v="2542183"/>
    <n v="1906637"/>
    <s v="Fernando de la Mora"/>
    <n v="2542183"/>
    <n v="1906637"/>
    <n v="635546"/>
    <n v="0.25000009834067805"/>
  </r>
  <r>
    <d v="2024-03-02T00:00:00"/>
    <x v="2"/>
    <s v="Cliente Final"/>
    <x v="0"/>
    <s v="Básico"/>
    <s v="Lavarropas Semiautomático"/>
    <n v="1"/>
    <n v="2249880"/>
    <n v="1687410"/>
    <s v="Fernando de la Mora"/>
    <n v="2249880"/>
    <n v="1687410"/>
    <n v="562470"/>
    <n v="0.25"/>
  </r>
  <r>
    <d v="2024-03-18T00:00:00"/>
    <x v="0"/>
    <s v="Cliente Final"/>
    <x v="3"/>
    <s v="Premium"/>
    <s v="Heladera Premium 450L"/>
    <n v="1"/>
    <n v="7124902"/>
    <n v="5699921"/>
    <s v="Fernando de la Mora"/>
    <n v="7124902"/>
    <n v="5699921"/>
    <n v="1424981"/>
    <n v="0.20000008421168461"/>
  </r>
  <r>
    <d v="2024-01-30T00:00:00"/>
    <x v="0"/>
    <s v="Cliente Final"/>
    <x v="0"/>
    <s v="Premium"/>
    <s v="Lavarropas Inverter"/>
    <n v="1"/>
    <n v="4504904"/>
    <n v="3603923"/>
    <s v="San Lorenzo"/>
    <n v="4504904"/>
    <n v="3603923"/>
    <n v="900981"/>
    <n v="0.20000004439606262"/>
  </r>
  <r>
    <d v="2024-02-25T00:00:00"/>
    <x v="3"/>
    <s v="Cliente Final"/>
    <x v="3"/>
    <s v="Medio"/>
    <s v="Heladera Inverter 300L"/>
    <n v="1"/>
    <n v="4896009"/>
    <n v="3818887"/>
    <s v="San Lorenzo"/>
    <n v="4896009"/>
    <n v="3818887"/>
    <n v="1077122"/>
    <n v="0.22000000408495982"/>
  </r>
  <r>
    <d v="2024-05-15T00:00:00"/>
    <x v="2"/>
    <s v="Cliente Final"/>
    <x v="4"/>
    <s v="Medio"/>
    <s v="Split 12000 BTU"/>
    <n v="1"/>
    <n v="4913423"/>
    <n v="3685067"/>
    <s v="Fernando de la Mora"/>
    <n v="4913423"/>
    <n v="3685067"/>
    <n v="1228356"/>
    <n v="0.25000005088102528"/>
  </r>
  <r>
    <d v="2024-06-22T00:00:00"/>
    <x v="1"/>
    <s v="Cliente Final"/>
    <x v="4"/>
    <s v="Medio"/>
    <s v="Split 12000 BTU"/>
    <n v="1"/>
    <n v="3757743"/>
    <n v="2818307"/>
    <s v="Luque"/>
    <n v="3757743"/>
    <n v="2818307"/>
    <n v="939436"/>
    <n v="0.25000006652929696"/>
  </r>
  <r>
    <d v="2024-04-16T00:00:00"/>
    <x v="1"/>
    <s v="Cliente Final"/>
    <x v="4"/>
    <s v="Premium"/>
    <s v="Split Inverter"/>
    <n v="1"/>
    <n v="6824438"/>
    <n v="5459550"/>
    <s v="Luque"/>
    <n v="6824438"/>
    <n v="5459550"/>
    <n v="1364888"/>
    <n v="0.20000005861288506"/>
  </r>
  <r>
    <d v="2024-05-06T00:00:00"/>
    <x v="0"/>
    <s v="Cliente Final"/>
    <x v="4"/>
    <s v="Básico"/>
    <s v="Aire Ventana"/>
    <n v="1"/>
    <n v="2107026"/>
    <n v="1517058"/>
    <s v="Lambaré"/>
    <n v="2107026"/>
    <n v="1517058"/>
    <n v="589968"/>
    <n v="0.2800003417138659"/>
  </r>
  <r>
    <d v="2024-01-05T00:00:00"/>
    <x v="2"/>
    <s v="Cliente Final"/>
    <x v="4"/>
    <s v="Medio"/>
    <s v="Split 12000 BTU"/>
    <n v="1"/>
    <n v="5303219"/>
    <n v="3977414"/>
    <s v="Fernando de la Mora"/>
    <n v="5303219"/>
    <n v="3977414"/>
    <n v="1325805"/>
    <n v="0.25000004714117974"/>
  </r>
  <r>
    <d v="2024-03-24T00:00:00"/>
    <x v="3"/>
    <s v="Cliente Final"/>
    <x v="1"/>
    <s v="Básico"/>
    <s v="Licuadora Básica"/>
    <n v="1"/>
    <n v="386490"/>
    <n v="231894"/>
    <s v="Fernando de la Mora"/>
    <n v="386490"/>
    <n v="231894"/>
    <n v="154596"/>
    <n v="0.4"/>
  </r>
  <r>
    <d v="2024-01-04T00:00:00"/>
    <x v="3"/>
    <s v="Cliente Final"/>
    <x v="1"/>
    <s v="Premium"/>
    <s v="Procesadora Premium"/>
    <n v="2"/>
    <n v="1945923"/>
    <n v="1362146"/>
    <s v="Lambaré"/>
    <n v="3891846"/>
    <n v="2724292"/>
    <n v="1167554"/>
    <n v="0.30000005138949487"/>
  </r>
  <r>
    <d v="2024-01-25T00:00:00"/>
    <x v="3"/>
    <s v="Cliente Final"/>
    <x v="3"/>
    <s v="Básico"/>
    <s v="Heladera Básica 250L"/>
    <n v="1"/>
    <n v="2291546"/>
    <n v="1718659"/>
    <s v="Asunción"/>
    <n v="2291546"/>
    <n v="1718659"/>
    <n v="572887"/>
    <n v="0.25000021819330703"/>
  </r>
  <r>
    <d v="2024-05-20T00:00:00"/>
    <x v="2"/>
    <s v="Cliente Final"/>
    <x v="4"/>
    <s v="Básico"/>
    <s v="Aire Ventana"/>
    <n v="1"/>
    <n v="3152901"/>
    <n v="2270088"/>
    <s v="Fernando de la Mora"/>
    <n v="3152901"/>
    <n v="2270088"/>
    <n v="882813"/>
    <n v="0.28000022836111887"/>
  </r>
  <r>
    <d v="2024-04-15T00:00:00"/>
    <x v="2"/>
    <s v="Cliente Final"/>
    <x v="0"/>
    <s v="Premium"/>
    <s v="Lavarropas Inverter"/>
    <n v="1"/>
    <n v="4702491"/>
    <n v="3761992"/>
    <s v="Luque"/>
    <n v="4702491"/>
    <n v="3761992"/>
    <n v="940499"/>
    <n v="0.20000017012260099"/>
  </r>
  <r>
    <d v="2024-06-23T00:00:00"/>
    <x v="2"/>
    <s v="Cliente Final"/>
    <x v="0"/>
    <s v="Básico"/>
    <s v="Lavarropas Semiautomático"/>
    <n v="1"/>
    <n v="2156384"/>
    <n v="1617288"/>
    <s v="Lambaré"/>
    <n v="2156384"/>
    <n v="1617288"/>
    <n v="539096"/>
    <n v="0.25"/>
  </r>
  <r>
    <d v="2024-03-21T00:00:00"/>
    <x v="3"/>
    <s v="Cliente Final"/>
    <x v="2"/>
    <s v="Premium"/>
    <s v="Smart TV 65&quot; 4K"/>
    <n v="1"/>
    <n v="3200308"/>
    <n v="2560246"/>
    <s v="Asunción"/>
    <n v="3200308"/>
    <n v="2560246"/>
    <n v="640062"/>
    <n v="0.2000001249879699"/>
  </r>
  <r>
    <d v="2024-05-19T00:00:00"/>
    <x v="1"/>
    <s v="Cliente Final"/>
    <x v="3"/>
    <s v="Premium"/>
    <s v="Heladera Premium 450L"/>
    <n v="1"/>
    <n v="5740069"/>
    <n v="4592055"/>
    <s v="San Lorenzo"/>
    <n v="5740069"/>
    <n v="4592055"/>
    <n v="1148014"/>
    <n v="0.20000003484278672"/>
  </r>
  <r>
    <d v="2024-01-16T00:00:00"/>
    <x v="1"/>
    <s v="Cliente Final"/>
    <x v="3"/>
    <s v="Básico"/>
    <s v="Heladera Básica 250L"/>
    <n v="1"/>
    <n v="2337124"/>
    <n v="1752843"/>
    <s v="Lambaré"/>
    <n v="2337124"/>
    <n v="1752843"/>
    <n v="584281"/>
    <n v="0.25"/>
  </r>
  <r>
    <d v="2024-01-07T00:00:00"/>
    <x v="2"/>
    <s v="Cliente Final"/>
    <x v="4"/>
    <s v="Medio"/>
    <s v="Split 12000 BTU"/>
    <n v="1"/>
    <n v="4344818"/>
    <n v="3258613"/>
    <s v="Lambaré"/>
    <n v="4344818"/>
    <n v="3258613"/>
    <n v="1086205"/>
    <n v="0.250000115079619"/>
  </r>
  <r>
    <d v="2024-05-03T00:00:00"/>
    <x v="1"/>
    <s v="Cliente Final"/>
    <x v="4"/>
    <s v="Premium"/>
    <s v="Split Inverter"/>
    <n v="1"/>
    <n v="6197835"/>
    <n v="4958268"/>
    <s v="Asunción"/>
    <n v="6197835"/>
    <n v="4958268"/>
    <n v="1239567"/>
    <n v="0.2"/>
  </r>
  <r>
    <d v="2024-04-01T00:00:00"/>
    <x v="2"/>
    <s v="Cliente Final"/>
    <x v="4"/>
    <s v="Premium"/>
    <s v="Split Inverter"/>
    <n v="1"/>
    <n v="7710016"/>
    <n v="6168012"/>
    <s v="Asunción"/>
    <n v="7710016"/>
    <n v="6168012"/>
    <n v="1542004"/>
    <n v="0.20000010376113356"/>
  </r>
  <r>
    <d v="2024-03-23T00:00:00"/>
    <x v="3"/>
    <s v="Cliente Final"/>
    <x v="2"/>
    <s v="Premium"/>
    <s v="Smart TV 65&quot; 4K"/>
    <n v="1"/>
    <n v="2633454"/>
    <n v="2106763"/>
    <s v="Fernando de la Mora"/>
    <n v="2633454"/>
    <n v="2106763"/>
    <n v="526691"/>
    <n v="0.20000007594588703"/>
  </r>
  <r>
    <d v="2024-02-23T00:00:00"/>
    <x v="1"/>
    <s v="Cliente Final"/>
    <x v="4"/>
    <s v="Medio"/>
    <s v="Split 12000 BTU"/>
    <n v="1"/>
    <n v="3605140"/>
    <n v="2703855"/>
    <s v="Asunción"/>
    <n v="3605140"/>
    <n v="2703855"/>
    <n v="901285"/>
    <n v="0.25"/>
  </r>
  <r>
    <d v="2024-02-09T00:00:00"/>
    <x v="2"/>
    <s v="Cliente Final"/>
    <x v="1"/>
    <s v="Premium"/>
    <s v="Procesadora Premium"/>
    <n v="1"/>
    <n v="1506377"/>
    <n v="1054463"/>
    <s v="Asunción"/>
    <n v="1506377"/>
    <n v="1054463"/>
    <n v="451914"/>
    <n v="0.30000059745999841"/>
  </r>
  <r>
    <d v="2024-03-22T00:00:00"/>
    <x v="3"/>
    <s v="Cliente Final"/>
    <x v="2"/>
    <s v="Premium"/>
    <s v="Smart TV 65&quot; 4K"/>
    <n v="1"/>
    <n v="2200318"/>
    <n v="1760254"/>
    <s v="Asunción"/>
    <n v="2200318"/>
    <n v="1760254"/>
    <n v="440064"/>
    <n v="0.20000018179190462"/>
  </r>
  <r>
    <d v="2024-06-18T00:00:00"/>
    <x v="3"/>
    <s v="Cliente Final"/>
    <x v="2"/>
    <s v="Premium"/>
    <s v="Smart TV 65&quot; 4K"/>
    <n v="1"/>
    <n v="2218792"/>
    <n v="1775033"/>
    <s v="San Lorenzo"/>
    <n v="2218792"/>
    <n v="1775033"/>
    <n v="443759"/>
    <n v="0.20000027041741633"/>
  </r>
  <r>
    <d v="2024-02-12T00:00:00"/>
    <x v="0"/>
    <s v="Cliente Final"/>
    <x v="4"/>
    <s v="Premium"/>
    <s v="Split Inverter"/>
    <n v="1"/>
    <n v="7710594"/>
    <n v="6168475"/>
    <s v="Luque"/>
    <n v="7710594"/>
    <n v="6168475"/>
    <n v="1542119"/>
    <n v="0.20000002593833885"/>
  </r>
  <r>
    <d v="2024-06-06T00:00:00"/>
    <x v="2"/>
    <s v="Cliente Final"/>
    <x v="0"/>
    <s v="Medio"/>
    <s v="Lavarropas Automático"/>
    <n v="1"/>
    <n v="2974791"/>
    <n v="2320336"/>
    <s v="Asunción"/>
    <n v="2974791"/>
    <n v="2320336"/>
    <n v="654455"/>
    <n v="0.22000032943490819"/>
  </r>
  <r>
    <d v="2024-05-19T00:00:00"/>
    <x v="0"/>
    <s v="Cliente Final"/>
    <x v="3"/>
    <s v="Premium"/>
    <s v="Heladera Premium 450L"/>
    <n v="1"/>
    <n v="8422071"/>
    <n v="6737656"/>
    <s v="Fernando de la Mora"/>
    <n v="8422071"/>
    <n v="6737656"/>
    <n v="1684415"/>
    <n v="0.20000009498851293"/>
  </r>
  <r>
    <d v="2024-05-02T00:00:00"/>
    <x v="1"/>
    <s v="Cliente Final"/>
    <x v="3"/>
    <s v="Premium"/>
    <s v="Heladera Premium 450L"/>
    <n v="1"/>
    <n v="5925913"/>
    <n v="4740730"/>
    <s v="Lambaré"/>
    <n v="5925913"/>
    <n v="4740730"/>
    <n v="1185183"/>
    <n v="0.20000006750014723"/>
  </r>
  <r>
    <d v="2024-01-23T00:00:00"/>
    <x v="3"/>
    <s v="Cliente Final"/>
    <x v="0"/>
    <s v="Medio"/>
    <s v="Lavarropas Automático"/>
    <n v="1"/>
    <n v="2930403"/>
    <n v="2285714"/>
    <s v="Fernando de la Mora"/>
    <n v="2930403"/>
    <n v="2285714"/>
    <n v="644689"/>
    <n v="0.22000011602499725"/>
  </r>
  <r>
    <d v="2024-03-05T00:00:00"/>
    <x v="1"/>
    <s v="Cliente Final"/>
    <x v="0"/>
    <s v="Básico"/>
    <s v="Lavarropas Semiautomático"/>
    <n v="1"/>
    <n v="1759046"/>
    <n v="1319284"/>
    <s v="Lambaré"/>
    <n v="1759046"/>
    <n v="1319284"/>
    <n v="439762"/>
    <n v="0.25000028424498277"/>
  </r>
  <r>
    <d v="2024-04-06T00:00:00"/>
    <x v="3"/>
    <s v="Cliente Final"/>
    <x v="2"/>
    <s v="Básico"/>
    <s v="TV LED 32&quot;"/>
    <n v="1"/>
    <n v="882985"/>
    <n v="618089"/>
    <s v="Asunción"/>
    <n v="882985"/>
    <n v="618089"/>
    <n v="264896"/>
    <n v="0.300000566261035"/>
  </r>
  <r>
    <d v="2024-06-27T00:00:00"/>
    <x v="0"/>
    <s v="Cliente Final"/>
    <x v="4"/>
    <s v="Básico"/>
    <s v="Aire Ventana"/>
    <n v="1"/>
    <n v="2143673"/>
    <n v="1543444"/>
    <s v="San Lorenzo"/>
    <n v="2143673"/>
    <n v="1543444"/>
    <n v="600229"/>
    <n v="0.28000026123387289"/>
  </r>
  <r>
    <d v="2024-06-02T00:00:00"/>
    <x v="0"/>
    <s v="Cliente Final"/>
    <x v="2"/>
    <s v="Medio"/>
    <s v="Smart TV 50&quot;"/>
    <n v="1"/>
    <n v="1599779"/>
    <n v="1199834"/>
    <s v="San Lorenzo"/>
    <n v="1599779"/>
    <n v="1199834"/>
    <n v="399945"/>
    <n v="0.25000015627158501"/>
  </r>
  <r>
    <d v="2024-04-04T00:00:00"/>
    <x v="2"/>
    <s v="Cliente Final"/>
    <x v="4"/>
    <s v="Básico"/>
    <s v="Aire Ventana"/>
    <n v="1"/>
    <n v="3064560"/>
    <n v="2206483"/>
    <s v="San Lorenzo"/>
    <n v="3064560"/>
    <n v="2206483"/>
    <n v="858077"/>
    <n v="0.2800000652622236"/>
  </r>
  <r>
    <d v="2024-05-09T00:00:00"/>
    <x v="2"/>
    <s v="Cliente Final"/>
    <x v="1"/>
    <s v="Premium"/>
    <s v="Procesadora Premium"/>
    <n v="3"/>
    <n v="1488137"/>
    <n v="1041695"/>
    <s v="San Lorenzo"/>
    <n v="4464411"/>
    <n v="3125085"/>
    <n v="1339326"/>
    <n v="0.30000060478302737"/>
  </r>
  <r>
    <d v="2024-06-20T00:00:00"/>
    <x v="3"/>
    <s v="Cliente Final"/>
    <x v="1"/>
    <s v="Básico"/>
    <s v="Licuadora Básica"/>
    <n v="3"/>
    <n v="451474"/>
    <n v="270884"/>
    <s v="Luque"/>
    <n v="1354422"/>
    <n v="812652"/>
    <n v="541770"/>
    <n v="0.40000088598678996"/>
  </r>
  <r>
    <d v="2024-05-04T00:00:00"/>
    <x v="3"/>
    <s v="Cliente Final"/>
    <x v="4"/>
    <s v="Básico"/>
    <s v="Aire Ventana"/>
    <n v="1"/>
    <n v="2837102"/>
    <n v="2042713"/>
    <s v="San Lorenzo"/>
    <n v="2837102"/>
    <n v="2042713"/>
    <n v="794389"/>
    <n v="0.2800001550878326"/>
  </r>
  <r>
    <d v="2024-04-20T00:00:00"/>
    <x v="0"/>
    <s v="Cliente Final"/>
    <x v="0"/>
    <s v="Premium"/>
    <s v="Lavarropas Inverter"/>
    <n v="1"/>
    <n v="4433351"/>
    <n v="3546680"/>
    <s v="Asunción"/>
    <n v="4433351"/>
    <n v="3546680"/>
    <n v="886671"/>
    <n v="0.20000018045040874"/>
  </r>
  <r>
    <d v="2024-01-21T00:00:00"/>
    <x v="2"/>
    <s v="Cliente Final"/>
    <x v="4"/>
    <s v="Básico"/>
    <s v="Aire Ventana"/>
    <n v="1"/>
    <n v="3222643"/>
    <n v="2320302"/>
    <s v="Lambaré"/>
    <n v="3222643"/>
    <n v="2320302"/>
    <n v="902341"/>
    <n v="0.28000029789213388"/>
  </r>
  <r>
    <d v="2024-02-03T00:00:00"/>
    <x v="2"/>
    <s v="Cliente Final"/>
    <x v="4"/>
    <s v="Medio"/>
    <s v="Split 12000 BTU"/>
    <n v="1"/>
    <n v="3828071"/>
    <n v="2871053"/>
    <s v="Fernando de la Mora"/>
    <n v="3828071"/>
    <n v="2871053"/>
    <n v="957018"/>
    <n v="0.25000006530704366"/>
  </r>
  <r>
    <d v="2024-03-05T00:00:00"/>
    <x v="0"/>
    <s v="Cliente Final"/>
    <x v="3"/>
    <s v="Básico"/>
    <s v="Heladera Básica 250L"/>
    <n v="1"/>
    <n v="2400562"/>
    <n v="1800421"/>
    <s v="Lambaré"/>
    <n v="2400562"/>
    <n v="1800421"/>
    <n v="600141"/>
    <n v="0.25000020828456004"/>
  </r>
  <r>
    <d v="2024-04-14T00:00:00"/>
    <x v="3"/>
    <s v="Cliente Final"/>
    <x v="1"/>
    <s v="Premium"/>
    <s v="Procesadora Premium"/>
    <n v="1"/>
    <n v="1955772"/>
    <n v="1369040"/>
    <s v="Asunción"/>
    <n v="1955772"/>
    <n v="1369040"/>
    <n v="586732"/>
    <n v="0.30000020452281762"/>
  </r>
  <r>
    <d v="2024-02-25T00:00:00"/>
    <x v="1"/>
    <s v="Cliente Final"/>
    <x v="1"/>
    <s v="Medio"/>
    <s v="Cafetera Eléctrica"/>
    <n v="2"/>
    <n v="879677"/>
    <n v="571790"/>
    <s v="Fernando de la Mora"/>
    <n v="1759354"/>
    <n v="1143580"/>
    <n v="615774"/>
    <n v="0.35000005683904434"/>
  </r>
  <r>
    <d v="2024-06-01T00:00:00"/>
    <x v="0"/>
    <s v="Cliente Final"/>
    <x v="2"/>
    <s v="Básico"/>
    <s v="TV LED 32&quot;"/>
    <n v="1"/>
    <n v="1039115"/>
    <n v="727380"/>
    <s v="Luque"/>
    <n v="1039115"/>
    <n v="727380"/>
    <n v="311735"/>
    <n v="0.30000048117869532"/>
  </r>
  <r>
    <d v="2024-05-17T00:00:00"/>
    <x v="0"/>
    <s v="Cliente Final"/>
    <x v="1"/>
    <s v="Medio"/>
    <s v="Cafetera Eléctrica"/>
    <n v="2"/>
    <n v="650369"/>
    <n v="422739"/>
    <s v="Fernando de la Mora"/>
    <n v="1300738"/>
    <n v="845478"/>
    <n v="455260"/>
    <n v="0.35000130695036202"/>
  </r>
  <r>
    <d v="2024-01-31T00:00:00"/>
    <x v="0"/>
    <s v="Cliente Final"/>
    <x v="4"/>
    <s v="Premium"/>
    <s v="Split Inverter"/>
    <n v="1"/>
    <n v="6800815"/>
    <n v="5440652"/>
    <s v="Asunción"/>
    <n v="6800815"/>
    <n v="5440652"/>
    <n v="1360163"/>
    <n v="0.2"/>
  </r>
  <r>
    <d v="2024-04-27T00:00:00"/>
    <x v="1"/>
    <s v="Cliente Final"/>
    <x v="4"/>
    <s v="Básico"/>
    <s v="Aire Ventana"/>
    <n v="1"/>
    <n v="2123840"/>
    <n v="1529164"/>
    <s v="Lambaré"/>
    <n v="2123840"/>
    <n v="1529164"/>
    <n v="594676"/>
    <n v="0.28000037667620914"/>
  </r>
  <r>
    <d v="2024-06-30T00:00:00"/>
    <x v="2"/>
    <s v="Cliente Final"/>
    <x v="0"/>
    <s v="Medio"/>
    <s v="Lavarropas Automático"/>
    <n v="1"/>
    <n v="3740119"/>
    <n v="2917292"/>
    <s v="San Lorenzo"/>
    <n v="3740119"/>
    <n v="2917292"/>
    <n v="822827"/>
    <n v="0.22000021924436095"/>
  </r>
  <r>
    <d v="2024-02-12T00:00:00"/>
    <x v="0"/>
    <s v="Cliente Final"/>
    <x v="1"/>
    <s v="Medio"/>
    <s v="Cafetera Eléctrica"/>
    <n v="2"/>
    <n v="1038926"/>
    <n v="675301"/>
    <s v="Luque"/>
    <n v="2077852"/>
    <n v="1350602"/>
    <n v="727250"/>
    <n v="0.35000086627921528"/>
  </r>
  <r>
    <d v="2024-06-13T00:00:00"/>
    <x v="1"/>
    <s v="Cliente Final"/>
    <x v="0"/>
    <s v="Básico"/>
    <s v="Lavarropas Semiautomático"/>
    <n v="1"/>
    <n v="1869985"/>
    <n v="1402488"/>
    <s v="Lambaré"/>
    <n v="1869985"/>
    <n v="1402488"/>
    <n v="467497"/>
    <n v="0.25000040107273586"/>
  </r>
  <r>
    <d v="2024-04-27T00:00:00"/>
    <x v="3"/>
    <s v="Cliente Final"/>
    <x v="1"/>
    <s v="Básico"/>
    <s v="Licuadora Básica"/>
    <n v="2"/>
    <n v="323170"/>
    <n v="193902"/>
    <s v="San Lorenzo"/>
    <n v="646340"/>
    <n v="387804"/>
    <n v="258536"/>
    <n v="0.4"/>
  </r>
  <r>
    <d v="2024-02-07T00:00:00"/>
    <x v="0"/>
    <s v="Cliente Final"/>
    <x v="3"/>
    <s v="Básico"/>
    <s v="Heladera Básica 250L"/>
    <n v="1"/>
    <n v="2518438"/>
    <n v="1888828"/>
    <s v="Asunción"/>
    <n v="2518438"/>
    <n v="1888828"/>
    <n v="629610"/>
    <n v="0.25000019853575906"/>
  </r>
  <r>
    <d v="2024-01-31T00:00:00"/>
    <x v="1"/>
    <s v="Cliente Final"/>
    <x v="3"/>
    <s v="Medio"/>
    <s v="Heladera Inverter 300L"/>
    <n v="1"/>
    <n v="4032526"/>
    <n v="3145370"/>
    <s v="Luque"/>
    <n v="4032526"/>
    <n v="3145370"/>
    <n v="887156"/>
    <n v="0.22000006943538616"/>
  </r>
  <r>
    <d v="2024-02-17T00:00:00"/>
    <x v="2"/>
    <s v="Cliente Final"/>
    <x v="3"/>
    <s v="Básico"/>
    <s v="Heladera Básica 250L"/>
    <n v="1"/>
    <n v="2820783"/>
    <n v="2115587"/>
    <s v="Lambaré"/>
    <n v="2820783"/>
    <n v="2115587"/>
    <n v="705196"/>
    <n v="0.25000008862787387"/>
  </r>
  <r>
    <d v="2024-05-11T00:00:00"/>
    <x v="2"/>
    <s v="Cliente Final"/>
    <x v="1"/>
    <s v="Básico"/>
    <s v="Licuadora Básica"/>
    <n v="2"/>
    <n v="189256"/>
    <n v="113553"/>
    <s v="Luque"/>
    <n v="378512"/>
    <n v="227106"/>
    <n v="151406"/>
    <n v="0.40000317030899946"/>
  </r>
  <r>
    <d v="2024-02-04T00:00:00"/>
    <x v="0"/>
    <s v="Cliente Final"/>
    <x v="2"/>
    <s v="Básico"/>
    <s v="TV LED 32&quot;"/>
    <n v="1"/>
    <n v="1061264"/>
    <n v="742884"/>
    <s v="Lambaré"/>
    <n v="1061264"/>
    <n v="742884"/>
    <n v="318380"/>
    <n v="0.30000075381808861"/>
  </r>
  <r>
    <d v="2024-06-04T00:00:00"/>
    <x v="0"/>
    <s v="Cliente Final"/>
    <x v="1"/>
    <s v="Medio"/>
    <s v="Cafetera Eléctrica"/>
    <n v="1"/>
    <n v="1126388"/>
    <n v="732152"/>
    <s v="Luque"/>
    <n v="1126388"/>
    <n v="732152"/>
    <n v="394236"/>
    <n v="0.35000017755870977"/>
  </r>
  <r>
    <d v="2024-03-13T00:00:00"/>
    <x v="1"/>
    <s v="Cliente Final"/>
    <x v="0"/>
    <s v="Medio"/>
    <s v="Lavarropas Automático"/>
    <n v="1"/>
    <n v="3545464"/>
    <n v="2765461"/>
    <s v="San Lorenzo"/>
    <n v="3545464"/>
    <n v="2765461"/>
    <n v="780003"/>
    <n v="0.22000025948648752"/>
  </r>
  <r>
    <d v="2024-04-11T00:00:00"/>
    <x v="1"/>
    <s v="Cliente Final"/>
    <x v="2"/>
    <s v="Premium"/>
    <s v="Smart TV 65&quot; 4K"/>
    <n v="1"/>
    <n v="3387178"/>
    <n v="2709742"/>
    <s v="Lambaré"/>
    <n v="3387178"/>
    <n v="2709742"/>
    <n v="677436"/>
    <n v="0.20000011809240612"/>
  </r>
  <r>
    <d v="2024-05-01T00:00:00"/>
    <x v="1"/>
    <s v="Cliente Final"/>
    <x v="3"/>
    <s v="Premium"/>
    <s v="Heladera Premium 450L"/>
    <n v="1"/>
    <n v="7356270"/>
    <n v="5885016"/>
    <s v="Fernando de la Mora"/>
    <n v="7356270"/>
    <n v="5885016"/>
    <n v="1471254"/>
    <n v="0.2"/>
  </r>
  <r>
    <d v="2024-02-25T00:00:00"/>
    <x v="2"/>
    <s v="Cliente Final"/>
    <x v="1"/>
    <s v="Medio"/>
    <s v="Cafetera Eléctrica"/>
    <n v="2"/>
    <n v="645432"/>
    <n v="419530"/>
    <s v="Fernando de la Mora"/>
    <n v="1290864"/>
    <n v="839060"/>
    <n v="451804"/>
    <n v="0.35000123947991424"/>
  </r>
  <r>
    <d v="2024-01-17T00:00:00"/>
    <x v="0"/>
    <s v="Cliente Final"/>
    <x v="2"/>
    <s v="Medio"/>
    <s v="Smart TV 50&quot;"/>
    <n v="1"/>
    <n v="1639346"/>
    <n v="1229509"/>
    <s v="Fernando de la Mora"/>
    <n v="1639346"/>
    <n v="1229509"/>
    <n v="409837"/>
    <n v="0.25000030499967668"/>
  </r>
  <r>
    <d v="2024-01-02T00:00:00"/>
    <x v="1"/>
    <s v="Cliente Final"/>
    <x v="0"/>
    <s v="Básico"/>
    <s v="Lavarropas Semiautomático"/>
    <n v="1"/>
    <n v="1966280"/>
    <n v="1474710"/>
    <s v="Fernando de la Mora"/>
    <n v="1966280"/>
    <n v="1474710"/>
    <n v="491570"/>
    <n v="0.25"/>
  </r>
  <r>
    <d v="2024-02-08T00:00:00"/>
    <x v="3"/>
    <s v="Cliente Final"/>
    <x v="4"/>
    <s v="Medio"/>
    <s v="Split 12000 BTU"/>
    <n v="1"/>
    <n v="4107918"/>
    <n v="3080938"/>
    <s v="Lambaré"/>
    <n v="4107918"/>
    <n v="3080938"/>
    <n v="1026980"/>
    <n v="0.25000012171615887"/>
  </r>
  <r>
    <d v="2024-01-10T00:00:00"/>
    <x v="0"/>
    <s v="Cliente Final"/>
    <x v="1"/>
    <s v="Medio"/>
    <s v="Cafetera Eléctrica"/>
    <n v="1"/>
    <n v="913222"/>
    <n v="593594"/>
    <s v="Asunción"/>
    <n v="913222"/>
    <n v="593594"/>
    <n v="319628"/>
    <n v="0.35000032850719759"/>
  </r>
  <r>
    <d v="2024-01-26T00:00:00"/>
    <x v="1"/>
    <s v="Cliente Final"/>
    <x v="3"/>
    <s v="Premium"/>
    <s v="Heladera Premium 450L"/>
    <n v="1"/>
    <n v="6233964"/>
    <n v="4987171"/>
    <s v="Lambaré"/>
    <n v="6233964"/>
    <n v="4987171"/>
    <n v="1246793"/>
    <n v="0.20000003208231551"/>
  </r>
  <r>
    <d v="2024-02-16T00:00:00"/>
    <x v="1"/>
    <s v="Cliente Final"/>
    <x v="2"/>
    <s v="Medio"/>
    <s v="Smart TV 50&quot;"/>
    <n v="1"/>
    <n v="1515839"/>
    <n v="1136879"/>
    <s v="Lambaré"/>
    <n v="1515839"/>
    <n v="1136879"/>
    <n v="378960"/>
    <n v="0.25000016492516686"/>
  </r>
  <r>
    <d v="2024-02-20T00:00:00"/>
    <x v="2"/>
    <s v="Cliente Final"/>
    <x v="0"/>
    <s v="Premium"/>
    <s v="Lavarropas Inverter"/>
    <n v="1"/>
    <n v="4122504"/>
    <n v="3298003"/>
    <s v="Fernando de la Mora"/>
    <n v="4122504"/>
    <n v="3298003"/>
    <n v="824501"/>
    <n v="0.200000048514204"/>
  </r>
  <r>
    <d v="2024-04-29T00:00:00"/>
    <x v="0"/>
    <s v="Cliente Final"/>
    <x v="0"/>
    <s v="Básico"/>
    <s v="Lavarropas Semiautomático"/>
    <n v="1"/>
    <n v="2619230"/>
    <n v="1964422"/>
    <s v="San Lorenzo"/>
    <n v="2619230"/>
    <n v="1964422"/>
    <n v="654808"/>
    <n v="0.25000019089579761"/>
  </r>
  <r>
    <d v="2024-03-24T00:00:00"/>
    <x v="2"/>
    <s v="Cliente Final"/>
    <x v="3"/>
    <s v="Premium"/>
    <s v="Heladera Premium 450L"/>
    <n v="1"/>
    <n v="6681811"/>
    <n v="5345448"/>
    <s v="Luque"/>
    <n v="6681811"/>
    <n v="5345448"/>
    <n v="1336363"/>
    <n v="0.20000011972801984"/>
  </r>
  <r>
    <d v="2024-02-02T00:00:00"/>
    <x v="0"/>
    <s v="Cliente Final"/>
    <x v="2"/>
    <s v="Medio"/>
    <s v="Smart TV 50&quot;"/>
    <n v="1"/>
    <n v="1829452"/>
    <n v="1372089"/>
    <s v="Fernando de la Mora"/>
    <n v="1829452"/>
    <n v="1372089"/>
    <n v="457363"/>
    <n v="0.25"/>
  </r>
  <r>
    <d v="2024-05-14T00:00:00"/>
    <x v="2"/>
    <s v="Cliente Final"/>
    <x v="3"/>
    <s v="Básico"/>
    <s v="Heladera Básica 250L"/>
    <n v="1"/>
    <n v="3050890"/>
    <n v="2288167"/>
    <s v="Lambaré"/>
    <n v="3050890"/>
    <n v="2288167"/>
    <n v="762723"/>
    <n v="0.25000016388660357"/>
  </r>
  <r>
    <d v="2024-01-16T00:00:00"/>
    <x v="1"/>
    <s v="Cliente Final"/>
    <x v="0"/>
    <s v="Premium"/>
    <s v="Lavarropas Inverter"/>
    <n v="1"/>
    <n v="4811858"/>
    <n v="3849486"/>
    <s v="Luque"/>
    <n v="4811858"/>
    <n v="3849486"/>
    <n v="962372"/>
    <n v="0.2000000831279726"/>
  </r>
  <r>
    <d v="2024-03-18T00:00:00"/>
    <x v="3"/>
    <s v="Cliente Final"/>
    <x v="1"/>
    <s v="Medio"/>
    <s v="Cafetera Eléctrica"/>
    <n v="3"/>
    <n v="886406"/>
    <n v="576163"/>
    <s v="Lambaré"/>
    <n v="2659218"/>
    <n v="1728489"/>
    <n v="930729"/>
    <n v="0.35000101533608752"/>
  </r>
  <r>
    <d v="2024-01-06T00:00:00"/>
    <x v="1"/>
    <s v="Cliente Final"/>
    <x v="1"/>
    <s v="Medio"/>
    <s v="Cafetera Eléctrica"/>
    <n v="3"/>
    <n v="729130"/>
    <n v="473934"/>
    <s v="Asunción"/>
    <n v="2187390"/>
    <n v="1421802"/>
    <n v="765588"/>
    <n v="0.35000068574876908"/>
  </r>
  <r>
    <d v="2024-01-05T00:00:00"/>
    <x v="3"/>
    <s v="Cliente Final"/>
    <x v="1"/>
    <s v="Básico"/>
    <s v="Licuadora Básica"/>
    <n v="3"/>
    <n v="282673"/>
    <n v="169603"/>
    <s v="San Lorenzo"/>
    <n v="848019"/>
    <n v="508809"/>
    <n v="339210"/>
    <n v="0.40000283012526844"/>
  </r>
  <r>
    <d v="2024-05-05T00:00:00"/>
    <x v="0"/>
    <s v="Cliente Final"/>
    <x v="0"/>
    <s v="Premium"/>
    <s v="Lavarropas Inverter"/>
    <n v="1"/>
    <n v="5356509"/>
    <n v="4285207"/>
    <s v="Lambaré"/>
    <n v="5356509"/>
    <n v="4285207"/>
    <n v="1071302"/>
    <n v="0.20000003733775112"/>
  </r>
  <r>
    <d v="2024-01-06T00:00:00"/>
    <x v="1"/>
    <s v="Cliente Final"/>
    <x v="3"/>
    <s v="Básico"/>
    <s v="Heladera Básica 250L"/>
    <n v="1"/>
    <n v="2727385"/>
    <n v="2045538"/>
    <s v="San Lorenzo"/>
    <n v="2727385"/>
    <n v="2045538"/>
    <n v="681847"/>
    <n v="0.2500002749886796"/>
  </r>
  <r>
    <d v="2024-04-15T00:00:00"/>
    <x v="0"/>
    <s v="Cliente Final"/>
    <x v="0"/>
    <s v="Premium"/>
    <s v="Lavarropas Inverter"/>
    <n v="1"/>
    <n v="5006123"/>
    <n v="4004898"/>
    <s v="Asunción"/>
    <n v="5006123"/>
    <n v="4004898"/>
    <n v="1001225"/>
    <n v="0.20000007990215182"/>
  </r>
  <r>
    <d v="2024-02-16T00:00:00"/>
    <x v="1"/>
    <s v="Cliente Final"/>
    <x v="2"/>
    <s v="Premium"/>
    <s v="Smart TV 65&quot; 4K"/>
    <n v="1"/>
    <n v="3384682"/>
    <n v="2707745"/>
    <s v="Fernando de la Mora"/>
    <n v="3384682"/>
    <n v="2707745"/>
    <n v="676937"/>
    <n v="0.2000001772692383"/>
  </r>
  <r>
    <d v="2024-02-01T00:00:00"/>
    <x v="2"/>
    <s v="Cliente Final"/>
    <x v="2"/>
    <s v="Básico"/>
    <s v="TV LED 32&quot;"/>
    <n v="1"/>
    <n v="969653"/>
    <n v="678757"/>
    <s v="San Lorenzo"/>
    <n v="969653"/>
    <n v="678757"/>
    <n v="290896"/>
    <n v="0.30000010312967629"/>
  </r>
  <r>
    <d v="2024-06-21T00:00:00"/>
    <x v="2"/>
    <s v="Cliente Final"/>
    <x v="0"/>
    <s v="Básico"/>
    <s v="Lavarropas Semiautomático"/>
    <n v="1"/>
    <n v="1890814"/>
    <n v="1418110"/>
    <s v="Lambaré"/>
    <n v="1890814"/>
    <n v="1418110"/>
    <n v="472704"/>
    <n v="0.25000026443637502"/>
  </r>
  <r>
    <d v="2024-06-01T00:00:00"/>
    <x v="0"/>
    <s v="Cliente Final"/>
    <x v="4"/>
    <s v="Básico"/>
    <s v="Aire Ventana"/>
    <n v="1"/>
    <n v="2920527"/>
    <n v="2102779"/>
    <s v="Lambaré"/>
    <n v="2920527"/>
    <n v="2102779"/>
    <n v="817748"/>
    <n v="0.28000015065774086"/>
  </r>
  <r>
    <d v="2024-01-14T00:00:00"/>
    <x v="0"/>
    <s v="Cliente Final"/>
    <x v="0"/>
    <s v="Medio"/>
    <s v="Lavarropas Automático"/>
    <n v="1"/>
    <n v="2846338"/>
    <n v="2220143"/>
    <s v="Fernando de la Mora"/>
    <n v="2846338"/>
    <n v="2220143"/>
    <n v="626195"/>
    <n v="0.22000022485031645"/>
  </r>
  <r>
    <d v="2024-01-29T00:00:00"/>
    <x v="3"/>
    <s v="Cliente Final"/>
    <x v="1"/>
    <s v="Básico"/>
    <s v="Licuadora Básica"/>
    <n v="2"/>
    <n v="428963"/>
    <n v="257377"/>
    <s v="Luque"/>
    <n v="857926"/>
    <n v="514754"/>
    <n v="343172"/>
    <n v="0.40000186496271239"/>
  </r>
  <r>
    <d v="2024-06-03T00:00:00"/>
    <x v="3"/>
    <s v="Cliente Final"/>
    <x v="0"/>
    <s v="Básico"/>
    <s v="Lavarropas Semiautomático"/>
    <n v="1"/>
    <n v="2737713"/>
    <n v="2053284"/>
    <s v="Lambaré"/>
    <n v="2737713"/>
    <n v="2053284"/>
    <n v="684429"/>
    <n v="0.2500002739512871"/>
  </r>
  <r>
    <d v="2024-05-04T00:00:00"/>
    <x v="3"/>
    <s v="Cliente Final"/>
    <x v="3"/>
    <s v="Medio"/>
    <s v="Heladera Inverter 300L"/>
    <n v="1"/>
    <n v="4429771"/>
    <n v="3455221"/>
    <s v="Fernando de la Mora"/>
    <n v="4429771"/>
    <n v="3455221"/>
    <n v="974550"/>
    <n v="0.22000008578321542"/>
  </r>
  <r>
    <d v="2024-05-02T00:00:00"/>
    <x v="1"/>
    <s v="Cliente Final"/>
    <x v="4"/>
    <s v="Medio"/>
    <s v="Split 12000 BTU"/>
    <n v="1"/>
    <n v="4030700"/>
    <n v="3023025"/>
    <s v="Luque"/>
    <n v="4030700"/>
    <n v="3023025"/>
    <n v="1007675"/>
    <n v="0.25"/>
  </r>
  <r>
    <d v="2024-06-21T00:00:00"/>
    <x v="0"/>
    <s v="Cliente Final"/>
    <x v="1"/>
    <s v="Medio"/>
    <s v="Cafetera Eléctrica"/>
    <n v="2"/>
    <n v="744072"/>
    <n v="483646"/>
    <s v="Asunción"/>
    <n v="1488144"/>
    <n v="967292"/>
    <n v="520852"/>
    <n v="0.35000107516476903"/>
  </r>
  <r>
    <d v="2024-03-15T00:00:00"/>
    <x v="2"/>
    <s v="Cliente Final"/>
    <x v="4"/>
    <s v="Premium"/>
    <s v="Split Inverter"/>
    <n v="1"/>
    <n v="6449076"/>
    <n v="5159260"/>
    <s v="Asunción"/>
    <n v="6449076"/>
    <n v="5159260"/>
    <n v="1289816"/>
    <n v="0.20000012404877845"/>
  </r>
  <r>
    <d v="2024-06-06T00:00:00"/>
    <x v="1"/>
    <s v="Cliente Final"/>
    <x v="2"/>
    <s v="Premium"/>
    <s v="Smart TV 65&quot; 4K"/>
    <n v="1"/>
    <n v="2888757"/>
    <n v="2311005"/>
    <s v="Fernando de la Mora"/>
    <n v="2888757"/>
    <n v="2311005"/>
    <n v="577752"/>
    <n v="0.20000020770179008"/>
  </r>
  <r>
    <d v="2024-05-04T00:00:00"/>
    <x v="2"/>
    <s v="Cliente Final"/>
    <x v="2"/>
    <s v="Premium"/>
    <s v="Smart TV 65&quot; 4K"/>
    <n v="1"/>
    <n v="2254672"/>
    <n v="1803737"/>
    <s v="San Lorenzo"/>
    <n v="2254672"/>
    <n v="1803737"/>
    <n v="450935"/>
    <n v="0.20000026611409552"/>
  </r>
  <r>
    <d v="2024-03-31T00:00:00"/>
    <x v="2"/>
    <s v="Cliente Final"/>
    <x v="2"/>
    <s v="Premium"/>
    <s v="Smart TV 65&quot; 4K"/>
    <n v="1"/>
    <n v="2074807"/>
    <n v="1659845"/>
    <s v="Lambaré"/>
    <n v="2074807"/>
    <n v="1659845"/>
    <n v="414962"/>
    <n v="0.20000028918352405"/>
  </r>
  <r>
    <d v="2024-05-03T00:00:00"/>
    <x v="0"/>
    <s v="Cliente Final"/>
    <x v="0"/>
    <s v="Premium"/>
    <s v="Lavarropas Inverter"/>
    <n v="1"/>
    <n v="4327589"/>
    <n v="3462071"/>
    <s v="Lambaré"/>
    <n v="4327589"/>
    <n v="3462071"/>
    <n v="865518"/>
    <n v="0.20000004621510961"/>
  </r>
  <r>
    <d v="2024-05-08T00:00:00"/>
    <x v="1"/>
    <s v="Cliente Final"/>
    <x v="1"/>
    <s v="Premium"/>
    <s v="Procesadora Premium"/>
    <n v="3"/>
    <n v="1811987"/>
    <n v="1268390"/>
    <s v="San Lorenzo"/>
    <n v="5435961"/>
    <n v="3805170"/>
    <n v="1630791"/>
    <n v="0.30000049669230516"/>
  </r>
  <r>
    <d v="2024-06-01T00:00:00"/>
    <x v="3"/>
    <s v="Cliente Final"/>
    <x v="0"/>
    <s v="Básico"/>
    <s v="Lavarropas Semiautomático"/>
    <n v="1"/>
    <n v="1962848"/>
    <n v="1472136"/>
    <s v="Lambaré"/>
    <n v="1962848"/>
    <n v="1472136"/>
    <n v="490712"/>
    <n v="0.25"/>
  </r>
  <r>
    <d v="2024-02-13T00:00:00"/>
    <x v="1"/>
    <s v="Cliente Final"/>
    <x v="4"/>
    <s v="Medio"/>
    <s v="Split 12000 BTU"/>
    <n v="1"/>
    <n v="4554777"/>
    <n v="3416082"/>
    <s v="San Lorenzo"/>
    <n v="4554777"/>
    <n v="3416082"/>
    <n v="1138695"/>
    <n v="0.25000016466228753"/>
  </r>
  <r>
    <d v="2024-06-25T00:00:00"/>
    <x v="1"/>
    <s v="Cliente Final"/>
    <x v="3"/>
    <s v="Premium"/>
    <s v="Heladera Premium 450L"/>
    <n v="1"/>
    <n v="7587882"/>
    <n v="6070305"/>
    <s v="San Lorenzo"/>
    <n v="7587882"/>
    <n v="6070305"/>
    <n v="1517577"/>
    <n v="0.20000007907344897"/>
  </r>
  <r>
    <d v="2024-06-25T00:00:00"/>
    <x v="0"/>
    <s v="Cliente Final"/>
    <x v="4"/>
    <s v="Medio"/>
    <s v="Split 12000 BTU"/>
    <n v="1"/>
    <n v="5665444"/>
    <n v="4249083"/>
    <s v="Asunción"/>
    <n v="5665444"/>
    <n v="4249083"/>
    <n v="1416361"/>
    <n v="0.25"/>
  </r>
  <r>
    <d v="2024-02-14T00:00:00"/>
    <x v="1"/>
    <s v="Cliente Final"/>
    <x v="1"/>
    <s v="Básico"/>
    <s v="Licuadora Básica"/>
    <n v="2"/>
    <n v="389193"/>
    <n v="233515"/>
    <s v="Lambaré"/>
    <n v="778386"/>
    <n v="467030"/>
    <n v="311356"/>
    <n v="0.40000205553542845"/>
  </r>
  <r>
    <d v="2024-06-15T00:00:00"/>
    <x v="1"/>
    <s v="Cliente Final"/>
    <x v="0"/>
    <s v="Premium"/>
    <s v="Lavarropas Inverter"/>
    <n v="1"/>
    <n v="4463024"/>
    <n v="3570419"/>
    <s v="Lambaré"/>
    <n v="4463024"/>
    <n v="3570419"/>
    <n v="892605"/>
    <n v="0.20000004481266515"/>
  </r>
  <r>
    <d v="2024-06-23T00:00:00"/>
    <x v="3"/>
    <s v="Cliente Final"/>
    <x v="3"/>
    <s v="Básico"/>
    <s v="Heladera Básica 250L"/>
    <n v="1"/>
    <n v="2272374"/>
    <n v="1704280"/>
    <s v="Lambaré"/>
    <n v="2272374"/>
    <n v="1704280"/>
    <n v="568094"/>
    <n v="0.25000022003420214"/>
  </r>
  <r>
    <d v="2024-03-31T00:00:00"/>
    <x v="3"/>
    <s v="Cliente Final"/>
    <x v="3"/>
    <s v="Básico"/>
    <s v="Heladera Básica 250L"/>
    <n v="1"/>
    <n v="2429684"/>
    <n v="1822263"/>
    <s v="Luque"/>
    <n v="2429684"/>
    <n v="1822263"/>
    <n v="607421"/>
    <n v="0.25"/>
  </r>
  <r>
    <d v="2024-06-20T00:00:00"/>
    <x v="1"/>
    <s v="Cliente Final"/>
    <x v="0"/>
    <s v="Básico"/>
    <s v="Lavarropas Semiautomático"/>
    <n v="1"/>
    <n v="2372972"/>
    <n v="1779729"/>
    <s v="Fernando de la Mora"/>
    <n v="2372972"/>
    <n v="1779729"/>
    <n v="593243"/>
    <n v="0.25"/>
  </r>
  <r>
    <d v="2024-04-15T00:00:00"/>
    <x v="1"/>
    <s v="Cliente Final"/>
    <x v="1"/>
    <s v="Medio"/>
    <s v="Cafetera Eléctrica"/>
    <n v="2"/>
    <n v="966129"/>
    <n v="627983"/>
    <s v="San Lorenzo"/>
    <n v="1932258"/>
    <n v="1255966"/>
    <n v="676292"/>
    <n v="0.35000087979969546"/>
  </r>
  <r>
    <d v="2024-04-06T00:00:00"/>
    <x v="3"/>
    <s v="Cliente Final"/>
    <x v="0"/>
    <s v="Premium"/>
    <s v="Lavarropas Inverter"/>
    <n v="1"/>
    <n v="5229034"/>
    <n v="4183227"/>
    <s v="Luque"/>
    <n v="5229034"/>
    <n v="4183227"/>
    <n v="1045807"/>
    <n v="0.20000003824798232"/>
  </r>
  <r>
    <d v="2024-06-18T00:00:00"/>
    <x v="3"/>
    <s v="Cliente Final"/>
    <x v="4"/>
    <s v="Premium"/>
    <s v="Split Inverter"/>
    <n v="1"/>
    <n v="8078638"/>
    <n v="6462910"/>
    <s v="Luque"/>
    <n v="8078638"/>
    <n v="6462910"/>
    <n v="1615728"/>
    <n v="0.20000004951329667"/>
  </r>
  <r>
    <d v="2024-03-13T00:00:00"/>
    <x v="3"/>
    <s v="Cliente Final"/>
    <x v="0"/>
    <s v="Medio"/>
    <s v="Lavarropas Automático"/>
    <n v="1"/>
    <n v="3322351"/>
    <n v="2591433"/>
    <s v="San Lorenzo"/>
    <n v="3322351"/>
    <n v="2591433"/>
    <n v="730918"/>
    <n v="0.22000023477350827"/>
  </r>
  <r>
    <d v="2024-05-30T00:00:00"/>
    <x v="0"/>
    <s v="Cliente Final"/>
    <x v="1"/>
    <s v="Medio"/>
    <s v="Cafetera Eléctrica"/>
    <n v="3"/>
    <n v="783825"/>
    <n v="509486"/>
    <s v="San Lorenzo"/>
    <n v="2351475"/>
    <n v="1528458"/>
    <n v="823017"/>
    <n v="0.35000031894874495"/>
  </r>
  <r>
    <d v="2024-04-22T00:00:00"/>
    <x v="3"/>
    <s v="Cliente Final"/>
    <x v="3"/>
    <s v="Premium"/>
    <s v="Heladera Premium 450L"/>
    <n v="1"/>
    <n v="7107135"/>
    <n v="5685708"/>
    <s v="San Lorenzo"/>
    <n v="7107135"/>
    <n v="5685708"/>
    <n v="1421427"/>
    <n v="0.2"/>
  </r>
  <r>
    <d v="2024-03-18T00:00:00"/>
    <x v="0"/>
    <s v="Cliente Final"/>
    <x v="2"/>
    <s v="Medio"/>
    <s v="Smart TV 50&quot;"/>
    <n v="1"/>
    <n v="1966431"/>
    <n v="1474823"/>
    <s v="Luque"/>
    <n v="1966431"/>
    <n v="1474823"/>
    <n v="491608"/>
    <n v="0.25000012713387859"/>
  </r>
  <r>
    <d v="2024-01-08T00:00:00"/>
    <x v="1"/>
    <s v="Cliente Final"/>
    <x v="0"/>
    <s v="Premium"/>
    <s v="Lavarropas Inverter"/>
    <n v="1"/>
    <n v="5440347"/>
    <n v="4352277"/>
    <s v="Luque"/>
    <n v="5440347"/>
    <n v="4352277"/>
    <n v="1088070"/>
    <n v="0.20000011028708278"/>
  </r>
  <r>
    <d v="2024-05-20T00:00:00"/>
    <x v="2"/>
    <s v="Cliente Final"/>
    <x v="2"/>
    <s v="Premium"/>
    <s v="Smart TV 65&quot; 4K"/>
    <n v="1"/>
    <n v="2123802"/>
    <n v="1699041"/>
    <s v="Lambaré"/>
    <n v="2123802"/>
    <n v="1699041"/>
    <n v="424761"/>
    <n v="0.20000028251221158"/>
  </r>
  <r>
    <d v="2024-05-02T00:00:00"/>
    <x v="2"/>
    <s v="Cliente Final"/>
    <x v="0"/>
    <s v="Básico"/>
    <s v="Lavarropas Semiautomático"/>
    <n v="1"/>
    <n v="2059659"/>
    <n v="1544744"/>
    <s v="Fernando de la Mora"/>
    <n v="2059659"/>
    <n v="1544744"/>
    <n v="514915"/>
    <n v="0.25000012137931571"/>
  </r>
  <r>
    <d v="2024-04-19T00:00:00"/>
    <x v="3"/>
    <s v="Cliente Final"/>
    <x v="2"/>
    <s v="Básico"/>
    <s v="TV LED 32&quot;"/>
    <n v="1"/>
    <n v="979843"/>
    <n v="685890"/>
    <s v="Fernando de la Mora"/>
    <n v="979843"/>
    <n v="685890"/>
    <n v="293953"/>
    <n v="0.30000010205716632"/>
  </r>
  <r>
    <d v="2024-03-08T00:00:00"/>
    <x v="1"/>
    <s v="Cliente Final"/>
    <x v="1"/>
    <s v="Básico"/>
    <s v="Licuadora Básica"/>
    <n v="1"/>
    <n v="394290"/>
    <n v="236574"/>
    <s v="Lambaré"/>
    <n v="394290"/>
    <n v="236574"/>
    <n v="157716"/>
    <n v="0.4"/>
  </r>
  <r>
    <d v="2024-06-08T00:00:00"/>
    <x v="0"/>
    <s v="Cliente Final"/>
    <x v="3"/>
    <s v="Básico"/>
    <s v="Heladera Básica 250L"/>
    <n v="1"/>
    <n v="3124031"/>
    <n v="2343023"/>
    <s v="San Lorenzo"/>
    <n v="3124031"/>
    <n v="2343023"/>
    <n v="781008"/>
    <n v="0.25000008002481411"/>
  </r>
  <r>
    <d v="2024-05-11T00:00:00"/>
    <x v="0"/>
    <s v="Cliente Final"/>
    <x v="1"/>
    <s v="Medio"/>
    <s v="Cafetera Eléctrica"/>
    <n v="1"/>
    <n v="1199081"/>
    <n v="779402"/>
    <s v="Luque"/>
    <n v="1199081"/>
    <n v="779402"/>
    <n v="419679"/>
    <n v="0.35000054208181097"/>
  </r>
  <r>
    <d v="2024-04-29T00:00:00"/>
    <x v="0"/>
    <s v="Cliente Final"/>
    <x v="1"/>
    <s v="Premium"/>
    <s v="Procesadora Premium"/>
    <n v="3"/>
    <n v="1396107"/>
    <n v="977274"/>
    <s v="Lambaré"/>
    <n v="4188321"/>
    <n v="2931822"/>
    <n v="1256499"/>
    <n v="0.30000064464972959"/>
  </r>
  <r>
    <d v="2024-05-05T00:00:00"/>
    <x v="0"/>
    <s v="Cliente Final"/>
    <x v="1"/>
    <s v="Premium"/>
    <s v="Procesadora Premium"/>
    <n v="3"/>
    <n v="1266758"/>
    <n v="886730"/>
    <s v="Lambaré"/>
    <n v="3800274"/>
    <n v="2660190"/>
    <n v="1140084"/>
    <n v="0.30000047365005789"/>
  </r>
  <r>
    <d v="2024-03-10T00:00:00"/>
    <x v="3"/>
    <s v="Cliente Final"/>
    <x v="3"/>
    <s v="Básico"/>
    <s v="Heladera Básica 250L"/>
    <n v="1"/>
    <n v="2162550"/>
    <n v="1621912"/>
    <s v="Fernando de la Mora"/>
    <n v="2162550"/>
    <n v="1621912"/>
    <n v="540638"/>
    <n v="0.25000023120852699"/>
  </r>
  <r>
    <d v="2024-02-24T00:00:00"/>
    <x v="3"/>
    <s v="Cliente Final"/>
    <x v="4"/>
    <s v="Medio"/>
    <s v="Split 12000 BTU"/>
    <n v="1"/>
    <n v="4492524"/>
    <n v="3369393"/>
    <s v="Fernando de la Mora"/>
    <n v="4492524"/>
    <n v="3369393"/>
    <n v="1123131"/>
    <n v="0.25"/>
  </r>
  <r>
    <d v="2024-06-23T00:00:00"/>
    <x v="3"/>
    <s v="Cliente Final"/>
    <x v="0"/>
    <s v="Medio"/>
    <s v="Lavarropas Automático"/>
    <n v="1"/>
    <n v="3207831"/>
    <n v="2502108"/>
    <s v="San Lorenzo"/>
    <n v="3207831"/>
    <n v="2502108"/>
    <n v="705723"/>
    <n v="0.22000005611268175"/>
  </r>
  <r>
    <d v="2024-03-16T00:00:00"/>
    <x v="0"/>
    <s v="Cliente Final"/>
    <x v="2"/>
    <s v="Premium"/>
    <s v="Smart TV 65&quot; 4K"/>
    <n v="1"/>
    <n v="2441992"/>
    <n v="1953593"/>
    <s v="San Lorenzo"/>
    <n v="2441992"/>
    <n v="1953593"/>
    <n v="488399"/>
    <n v="0.20000024570105063"/>
  </r>
  <r>
    <d v="2024-02-13T00:00:00"/>
    <x v="3"/>
    <s v="Cliente Final"/>
    <x v="4"/>
    <s v="Medio"/>
    <s v="Split 12000 BTU"/>
    <n v="1"/>
    <n v="4746357"/>
    <n v="3559767"/>
    <s v="Luque"/>
    <n v="4746357"/>
    <n v="3559767"/>
    <n v="1186590"/>
    <n v="0.25000015801592673"/>
  </r>
  <r>
    <d v="2024-05-20T00:00:00"/>
    <x v="2"/>
    <s v="Cliente Final"/>
    <x v="4"/>
    <s v="Medio"/>
    <s v="Split 12000 BTU"/>
    <n v="1"/>
    <n v="4266608"/>
    <n v="3199956"/>
    <s v="Fernando de la Mora"/>
    <n v="4266608"/>
    <n v="3199956"/>
    <n v="1066652"/>
    <n v="0.25"/>
  </r>
  <r>
    <d v="2024-04-11T00:00:00"/>
    <x v="1"/>
    <s v="Cliente Final"/>
    <x v="3"/>
    <s v="Básico"/>
    <s v="Heladera Básica 250L"/>
    <n v="1"/>
    <n v="2696271"/>
    <n v="2022203"/>
    <s v="San Lorenzo"/>
    <n v="2696271"/>
    <n v="2022203"/>
    <n v="674068"/>
    <n v="0.2500000927206501"/>
  </r>
  <r>
    <d v="2024-06-29T00:00:00"/>
    <x v="1"/>
    <s v="Cliente Final"/>
    <x v="4"/>
    <s v="Medio"/>
    <s v="Split 12000 BTU"/>
    <n v="1"/>
    <n v="4760567"/>
    <n v="3570425"/>
    <s v="Luque"/>
    <n v="4760567"/>
    <n v="3570425"/>
    <n v="1190142"/>
    <n v="0.25000005251475299"/>
  </r>
  <r>
    <d v="2024-06-14T00:00:00"/>
    <x v="2"/>
    <s v="Cliente Final"/>
    <x v="3"/>
    <s v="Básico"/>
    <s v="Heladera Básica 250L"/>
    <n v="1"/>
    <n v="2099629"/>
    <n v="1574721"/>
    <s v="Fernando de la Mora"/>
    <n v="2099629"/>
    <n v="1574721"/>
    <n v="524908"/>
    <n v="0.25000035720596353"/>
  </r>
  <r>
    <d v="2024-05-06T00:00:00"/>
    <x v="0"/>
    <s v="Cliente Final"/>
    <x v="3"/>
    <s v="Básico"/>
    <s v="Heladera Básica 250L"/>
    <n v="1"/>
    <n v="3007221"/>
    <n v="2255415"/>
    <s v="Luque"/>
    <n v="3007221"/>
    <n v="2255415"/>
    <n v="751806"/>
    <n v="0.25000024939969495"/>
  </r>
  <r>
    <d v="2024-06-14T00:00:00"/>
    <x v="1"/>
    <s v="Cliente Final"/>
    <x v="0"/>
    <s v="Básico"/>
    <s v="Lavarropas Semiautomático"/>
    <n v="1"/>
    <n v="2760442"/>
    <n v="2070331"/>
    <s v="Lambaré"/>
    <n v="2760442"/>
    <n v="2070331"/>
    <n v="690111"/>
    <n v="0.25000018113041317"/>
  </r>
  <r>
    <d v="2024-01-31T00:00:00"/>
    <x v="0"/>
    <s v="Cliente Final"/>
    <x v="2"/>
    <s v="Medio"/>
    <s v="Smart TV 50&quot;"/>
    <n v="1"/>
    <n v="1986804"/>
    <n v="1490103"/>
    <s v="Luque"/>
    <n v="1986804"/>
    <n v="1490103"/>
    <n v="496701"/>
    <n v="0.25"/>
  </r>
  <r>
    <d v="2024-05-10T00:00:00"/>
    <x v="1"/>
    <s v="Cliente Final"/>
    <x v="4"/>
    <s v="Premium"/>
    <s v="Split Inverter"/>
    <n v="1"/>
    <n v="8418379"/>
    <n v="6734703"/>
    <s v="Luque"/>
    <n v="8418379"/>
    <n v="6734703"/>
    <n v="1683676"/>
    <n v="0.20000002375754286"/>
  </r>
  <r>
    <d v="2024-04-25T00:00:00"/>
    <x v="2"/>
    <s v="Cliente Final"/>
    <x v="4"/>
    <s v="Básico"/>
    <s v="Aire Ventana"/>
    <n v="1"/>
    <n v="2939004"/>
    <n v="2116082"/>
    <s v="Lambaré"/>
    <n v="2939004"/>
    <n v="2116082"/>
    <n v="822922"/>
    <n v="0.28000029942116444"/>
  </r>
  <r>
    <d v="2024-03-19T00:00:00"/>
    <x v="1"/>
    <s v="Cliente Final"/>
    <x v="3"/>
    <s v="Premium"/>
    <s v="Heladera Premium 450L"/>
    <n v="1"/>
    <n v="5513899"/>
    <n v="4411119"/>
    <s v="Lambaré"/>
    <n v="5513899"/>
    <n v="4411119"/>
    <n v="1102780"/>
    <n v="0.2000000362719738"/>
  </r>
  <r>
    <d v="2024-02-04T00:00:00"/>
    <x v="3"/>
    <s v="Cliente Final"/>
    <x v="1"/>
    <s v="Premium"/>
    <s v="Procesadora Premium"/>
    <n v="1"/>
    <n v="1210298"/>
    <n v="847208"/>
    <s v="Asunción"/>
    <n v="1210298"/>
    <n v="847208"/>
    <n v="363090"/>
    <n v="0.30000049574567583"/>
  </r>
  <r>
    <d v="2024-01-01T00:00:00"/>
    <x v="1"/>
    <s v="Cliente Final"/>
    <x v="0"/>
    <s v="Premium"/>
    <s v="Lavarropas Inverter"/>
    <n v="1"/>
    <n v="4185319"/>
    <n v="3348255"/>
    <s v="Lambaré"/>
    <n v="4185319"/>
    <n v="3348255"/>
    <n v="837064"/>
    <n v="0.20000004778608274"/>
  </r>
  <r>
    <d v="2024-04-28T00:00:00"/>
    <x v="3"/>
    <s v="Cliente Final"/>
    <x v="2"/>
    <s v="Medio"/>
    <s v="Smart TV 50&quot;"/>
    <n v="1"/>
    <n v="1577615"/>
    <n v="1183211"/>
    <s v="San Lorenzo"/>
    <n v="1577615"/>
    <n v="1183211"/>
    <n v="394404"/>
    <n v="0.25000015846705309"/>
  </r>
  <r>
    <d v="2024-06-28T00:00:00"/>
    <x v="2"/>
    <s v="Cliente Final"/>
    <x v="4"/>
    <s v="Básico"/>
    <s v="Aire Ventana"/>
    <n v="1"/>
    <n v="3356182"/>
    <n v="2416451"/>
    <s v="San Lorenzo"/>
    <n v="3356182"/>
    <n v="2416451"/>
    <n v="939731"/>
    <n v="0.28000001191830481"/>
  </r>
  <r>
    <d v="2024-03-22T00:00:00"/>
    <x v="3"/>
    <s v="Cliente Final"/>
    <x v="4"/>
    <s v="Medio"/>
    <s v="Split 12000 BTU"/>
    <n v="1"/>
    <n v="5243714"/>
    <n v="3932785"/>
    <s v="Asunción"/>
    <n v="5243714"/>
    <n v="3932785"/>
    <n v="1310929"/>
    <n v="0.2500000953522637"/>
  </r>
  <r>
    <d v="2024-04-13T00:00:00"/>
    <x v="3"/>
    <s v="Cliente Final"/>
    <x v="4"/>
    <s v="Básico"/>
    <s v="Aire Ventana"/>
    <n v="1"/>
    <n v="3258919"/>
    <n v="2346421"/>
    <s v="Luque"/>
    <n v="3258919"/>
    <n v="2346421"/>
    <n v="912498"/>
    <n v="0.28000020865814707"/>
  </r>
  <r>
    <d v="2024-03-03T00:00:00"/>
    <x v="2"/>
    <s v="Cliente Final"/>
    <x v="2"/>
    <s v="Básico"/>
    <s v="TV LED 32&quot;"/>
    <n v="1"/>
    <n v="985986"/>
    <n v="690190"/>
    <s v="Fernando de la Mora"/>
    <n v="985986"/>
    <n v="690190"/>
    <n v="295796"/>
    <n v="0.30000020284263673"/>
  </r>
  <r>
    <d v="2024-02-07T00:00:00"/>
    <x v="0"/>
    <s v="Cliente Final"/>
    <x v="0"/>
    <s v="Medio"/>
    <s v="Lavarropas Automático"/>
    <n v="1"/>
    <n v="3430270"/>
    <n v="2675610"/>
    <s v="Luque"/>
    <n v="3430270"/>
    <n v="2675610"/>
    <n v="754660"/>
    <n v="0.220000174913345"/>
  </r>
  <r>
    <d v="2024-05-07T00:00:00"/>
    <x v="2"/>
    <s v="Cliente Final"/>
    <x v="4"/>
    <s v="Medio"/>
    <s v="Split 12000 BTU"/>
    <n v="1"/>
    <n v="5843701"/>
    <n v="4382775"/>
    <s v="Fernando de la Mora"/>
    <n v="5843701"/>
    <n v="4382775"/>
    <n v="1460926"/>
    <n v="0.25000012834332214"/>
  </r>
  <r>
    <d v="2024-02-25T00:00:00"/>
    <x v="0"/>
    <s v="Cliente Final"/>
    <x v="4"/>
    <s v="Medio"/>
    <s v="Split 12000 BTU"/>
    <n v="1"/>
    <n v="3788417"/>
    <n v="2841312"/>
    <s v="Asunción"/>
    <n v="3788417"/>
    <n v="2841312"/>
    <n v="947105"/>
    <n v="0.25000019797187056"/>
  </r>
  <r>
    <d v="2024-03-27T00:00:00"/>
    <x v="0"/>
    <s v="Cliente Final"/>
    <x v="1"/>
    <s v="Premium"/>
    <s v="Procesadora Premium"/>
    <n v="3"/>
    <n v="1678701"/>
    <n v="1175090"/>
    <s v="Fernando de la Mora"/>
    <n v="5036103"/>
    <n v="3525270"/>
    <n v="1510833"/>
    <n v="0.30000041698908858"/>
  </r>
  <r>
    <d v="2024-01-23T00:00:00"/>
    <x v="3"/>
    <s v="Cliente Final"/>
    <x v="3"/>
    <s v="Básico"/>
    <s v="Heladera Básica 250L"/>
    <n v="1"/>
    <n v="2648926"/>
    <n v="1986694"/>
    <s v="Lambaré"/>
    <n v="2648926"/>
    <n v="1986694"/>
    <n v="662232"/>
    <n v="0.25000018875574476"/>
  </r>
  <r>
    <d v="2024-04-22T00:00:00"/>
    <x v="2"/>
    <s v="Cliente Final"/>
    <x v="1"/>
    <s v="Básico"/>
    <s v="Licuadora Básica"/>
    <n v="2"/>
    <n v="413435"/>
    <n v="248061"/>
    <s v="San Lorenzo"/>
    <n v="826870"/>
    <n v="496122"/>
    <n v="330748"/>
    <n v="0.4"/>
  </r>
  <r>
    <d v="2024-01-04T00:00:00"/>
    <x v="0"/>
    <s v="Cliente Final"/>
    <x v="1"/>
    <s v="Medio"/>
    <s v="Cafetera Eléctrica"/>
    <n v="2"/>
    <n v="1070874"/>
    <n v="696068"/>
    <s v="Luque"/>
    <n v="2141748"/>
    <n v="1392136"/>
    <n v="749612"/>
    <n v="0.35000009338166771"/>
  </r>
  <r>
    <d v="2024-03-11T00:00:00"/>
    <x v="3"/>
    <s v="Cliente Final"/>
    <x v="4"/>
    <s v="Premium"/>
    <s v="Split Inverter"/>
    <n v="1"/>
    <n v="7658632"/>
    <n v="6126905"/>
    <s v="Lambaré"/>
    <n v="7658632"/>
    <n v="6126905"/>
    <n v="1531727"/>
    <n v="0.20000007834297301"/>
  </r>
  <r>
    <d v="2024-05-31T00:00:00"/>
    <x v="0"/>
    <s v="Cliente Final"/>
    <x v="2"/>
    <s v="Premium"/>
    <s v="Smart TV 65&quot; 4K"/>
    <n v="1"/>
    <n v="3177157"/>
    <n v="2541725"/>
    <s v="Luque"/>
    <n v="3177157"/>
    <n v="2541725"/>
    <n v="635432"/>
    <n v="0.20000018884808021"/>
  </r>
  <r>
    <d v="2024-03-31T00:00:00"/>
    <x v="0"/>
    <s v="Cliente Final"/>
    <x v="2"/>
    <s v="Básico"/>
    <s v="TV LED 32&quot;"/>
    <n v="1"/>
    <n v="871195"/>
    <n v="609836"/>
    <s v="Lambaré"/>
    <n v="871195"/>
    <n v="609836"/>
    <n v="261359"/>
    <n v="0.30000057392432233"/>
  </r>
  <r>
    <d v="2024-02-12T00:00:00"/>
    <x v="1"/>
    <s v="Cliente Final"/>
    <x v="1"/>
    <s v="Básico"/>
    <s v="Licuadora Básica"/>
    <n v="3"/>
    <n v="322473"/>
    <n v="193483"/>
    <s v="Lambaré"/>
    <n v="967419"/>
    <n v="580449"/>
    <n v="386970"/>
    <n v="0.40000248082785228"/>
  </r>
  <r>
    <d v="2024-05-04T00:00:00"/>
    <x v="1"/>
    <s v="Cliente Final"/>
    <x v="2"/>
    <s v="Medio"/>
    <s v="Smart TV 50&quot;"/>
    <n v="1"/>
    <n v="1390858"/>
    <n v="1043143"/>
    <s v="Luque"/>
    <n v="1390858"/>
    <n v="1043143"/>
    <n v="347715"/>
    <n v="0.250000359490329"/>
  </r>
  <r>
    <d v="2024-06-06T00:00:00"/>
    <x v="1"/>
    <s v="Cliente Final"/>
    <x v="1"/>
    <s v="Medio"/>
    <s v="Cafetera Eléctrica"/>
    <n v="3"/>
    <n v="1171530"/>
    <n v="761494"/>
    <s v="San Lorenzo"/>
    <n v="3514590"/>
    <n v="2284482"/>
    <n v="1230108"/>
    <n v="0.3500004267923143"/>
  </r>
  <r>
    <d v="2024-02-26T00:00:00"/>
    <x v="0"/>
    <s v="Cliente Final"/>
    <x v="3"/>
    <s v="Básico"/>
    <s v="Heladera Básica 250L"/>
    <n v="1"/>
    <n v="2579992"/>
    <n v="1934994"/>
    <s v="Asunción"/>
    <n v="2579992"/>
    <n v="1934994"/>
    <n v="644998"/>
    <n v="0.25"/>
  </r>
  <r>
    <d v="2024-02-14T00:00:00"/>
    <x v="3"/>
    <s v="Cliente Final"/>
    <x v="0"/>
    <s v="Medio"/>
    <s v="Lavarropas Automático"/>
    <n v="1"/>
    <n v="3704809"/>
    <n v="2889751"/>
    <s v="Fernando de la Mora"/>
    <n v="3704809"/>
    <n v="2889751"/>
    <n v="815058"/>
    <n v="0.22000000539838896"/>
  </r>
  <r>
    <d v="2024-02-25T00:00:00"/>
    <x v="2"/>
    <s v="Cliente Final"/>
    <x v="4"/>
    <s v="Medio"/>
    <s v="Split 12000 BTU"/>
    <n v="1"/>
    <n v="4062798"/>
    <n v="3047098"/>
    <s v="Lambaré"/>
    <n v="4062798"/>
    <n v="3047098"/>
    <n v="1015700"/>
    <n v="0.2500001230678956"/>
  </r>
  <r>
    <d v="2024-06-21T00:00:00"/>
    <x v="2"/>
    <s v="Cliente Final"/>
    <x v="3"/>
    <s v="Básico"/>
    <s v="Heladera Básica 250L"/>
    <n v="1"/>
    <n v="2034282"/>
    <n v="1525711"/>
    <s v="Asunción"/>
    <n v="2034282"/>
    <n v="1525711"/>
    <n v="508571"/>
    <n v="0.25000024578696561"/>
  </r>
  <r>
    <d v="2024-01-26T00:00:00"/>
    <x v="2"/>
    <s v="Cliente Final"/>
    <x v="0"/>
    <s v="Medio"/>
    <s v="Lavarropas Automático"/>
    <n v="1"/>
    <n v="3352450"/>
    <n v="2614911"/>
    <s v="San Lorenzo"/>
    <n v="3352450"/>
    <n v="2614911"/>
    <n v="737539"/>
    <n v="0.22"/>
  </r>
  <r>
    <d v="2024-01-08T00:00:00"/>
    <x v="2"/>
    <s v="Cliente Final"/>
    <x v="0"/>
    <s v="Premium"/>
    <s v="Lavarropas Inverter"/>
    <n v="1"/>
    <n v="4211193"/>
    <n v="3368954"/>
    <s v="Asunción"/>
    <n v="4211193"/>
    <n v="3368954"/>
    <n v="842239"/>
    <n v="0.20000009498496032"/>
  </r>
  <r>
    <d v="2024-03-21T00:00:00"/>
    <x v="0"/>
    <s v="Cliente Final"/>
    <x v="4"/>
    <s v="Básico"/>
    <s v="Aire Ventana"/>
    <n v="1"/>
    <n v="2708798"/>
    <n v="1950334"/>
    <s v="Luque"/>
    <n v="2708798"/>
    <n v="1950334"/>
    <n v="758464"/>
    <n v="0.28000020673376164"/>
  </r>
  <r>
    <d v="2024-06-23T00:00:00"/>
    <x v="3"/>
    <s v="Cliente Final"/>
    <x v="2"/>
    <s v="Medio"/>
    <s v="Smart TV 50&quot;"/>
    <n v="1"/>
    <n v="1554476"/>
    <n v="1165857"/>
    <s v="Fernando de la Mora"/>
    <n v="1554476"/>
    <n v="1165857"/>
    <n v="388619"/>
    <n v="0.25"/>
  </r>
  <r>
    <d v="2024-06-23T00:00:00"/>
    <x v="2"/>
    <s v="Cliente Final"/>
    <x v="3"/>
    <s v="Medio"/>
    <s v="Heladera Inverter 300L"/>
    <n v="1"/>
    <n v="4872073"/>
    <n v="3800216"/>
    <s v="Lambaré"/>
    <n v="4872073"/>
    <n v="3800216"/>
    <n v="1071857"/>
    <n v="0.22000019293635378"/>
  </r>
  <r>
    <d v="2024-03-19T00:00:00"/>
    <x v="2"/>
    <s v="Cliente Final"/>
    <x v="2"/>
    <s v="Premium"/>
    <s v="Smart TV 65&quot; 4K"/>
    <n v="1"/>
    <n v="2423000"/>
    <n v="1938400"/>
    <s v="Fernando de la Mora"/>
    <n v="2423000"/>
    <n v="1938400"/>
    <n v="484600"/>
    <n v="0.2"/>
  </r>
  <r>
    <d v="2024-05-24T00:00:00"/>
    <x v="1"/>
    <s v="Cliente Final"/>
    <x v="2"/>
    <s v="Básico"/>
    <s v="TV LED 32&quot;"/>
    <n v="1"/>
    <n v="1271846"/>
    <n v="890292"/>
    <s v="Luque"/>
    <n v="1271846"/>
    <n v="890292"/>
    <n v="381554"/>
    <n v="0.30000015725174273"/>
  </r>
  <r>
    <d v="2024-03-01T00:00:00"/>
    <x v="1"/>
    <s v="Cliente Final"/>
    <x v="3"/>
    <s v="Básico"/>
    <s v="Heladera Básica 250L"/>
    <n v="1"/>
    <n v="3092281"/>
    <n v="2319210"/>
    <s v="Lambaré"/>
    <n v="3092281"/>
    <n v="2319210"/>
    <n v="773071"/>
    <n v="0.250000242539407"/>
  </r>
  <r>
    <d v="2024-01-04T00:00:00"/>
    <x v="2"/>
    <s v="Cliente Final"/>
    <x v="1"/>
    <s v="Premium"/>
    <s v="Procesadora Premium"/>
    <n v="2"/>
    <n v="1432615"/>
    <n v="1002830"/>
    <s v="Luque"/>
    <n v="2865230"/>
    <n v="2005660"/>
    <n v="859570"/>
    <n v="0.30000034901212119"/>
  </r>
  <r>
    <d v="2024-06-20T00:00:00"/>
    <x v="1"/>
    <s v="Cliente Final"/>
    <x v="1"/>
    <s v="Premium"/>
    <s v="Procesadora Premium"/>
    <n v="2"/>
    <n v="1834967"/>
    <n v="1284476"/>
    <s v="Fernando de la Mora"/>
    <n v="3669934"/>
    <n v="2568952"/>
    <n v="1100982"/>
    <n v="0.30000049047203575"/>
  </r>
  <r>
    <d v="2024-03-10T00:00:00"/>
    <x v="1"/>
    <s v="Cliente Final"/>
    <x v="1"/>
    <s v="Premium"/>
    <s v="Procesadora Premium"/>
    <n v="3"/>
    <n v="1332280"/>
    <n v="932595"/>
    <s v="Lambaré"/>
    <n v="3996840"/>
    <n v="2797785"/>
    <n v="1199055"/>
    <n v="0.30000075059296843"/>
  </r>
  <r>
    <d v="2024-06-01T00:00:00"/>
    <x v="1"/>
    <s v="Cliente Final"/>
    <x v="0"/>
    <s v="Básico"/>
    <s v="Lavarropas Semiautomático"/>
    <n v="1"/>
    <n v="2000316"/>
    <n v="1500237"/>
    <s v="Lambaré"/>
    <n v="2000316"/>
    <n v="1500237"/>
    <n v="500079"/>
    <n v="0.25"/>
  </r>
  <r>
    <d v="2024-01-13T00:00:00"/>
    <x v="3"/>
    <s v="Cliente Final"/>
    <x v="4"/>
    <s v="Básico"/>
    <s v="Aire Ventana"/>
    <n v="1"/>
    <n v="2506310"/>
    <n v="1804543"/>
    <s v="San Lorenzo"/>
    <n v="2506310"/>
    <n v="1804543"/>
    <n v="701767"/>
    <n v="0.28000007979858837"/>
  </r>
  <r>
    <d v="2024-04-02T00:00:00"/>
    <x v="0"/>
    <s v="Cliente Final"/>
    <x v="2"/>
    <s v="Premium"/>
    <s v="Smart TV 65&quot; 4K"/>
    <n v="1"/>
    <n v="2977455"/>
    <n v="2381964"/>
    <s v="Asunción"/>
    <n v="2977455"/>
    <n v="2381964"/>
    <n v="595491"/>
    <n v="0.2"/>
  </r>
  <r>
    <d v="2024-01-19T00:00:00"/>
    <x v="0"/>
    <s v="Cliente Final"/>
    <x v="0"/>
    <s v="Premium"/>
    <s v="Lavarropas Inverter"/>
    <n v="1"/>
    <n v="4397478"/>
    <n v="3517982"/>
    <s v="Lambaré"/>
    <n v="4397478"/>
    <n v="3517982"/>
    <n v="879496"/>
    <n v="0.20000009096122823"/>
  </r>
  <r>
    <d v="2024-01-27T00:00:00"/>
    <x v="1"/>
    <s v="Cliente Final"/>
    <x v="4"/>
    <s v="Básico"/>
    <s v="Aire Ventana"/>
    <n v="1"/>
    <n v="3165431"/>
    <n v="2279110"/>
    <s v="San Lorenzo"/>
    <n v="3165431"/>
    <n v="2279110"/>
    <n v="886321"/>
    <n v="0.28000010109207879"/>
  </r>
  <r>
    <d v="2024-02-28T00:00:00"/>
    <x v="3"/>
    <s v="Cliente Final"/>
    <x v="2"/>
    <s v="Básico"/>
    <s v="TV LED 32&quot;"/>
    <n v="1"/>
    <n v="1007473"/>
    <n v="705231"/>
    <s v="Asunción"/>
    <n v="1007473"/>
    <n v="705231"/>
    <n v="302242"/>
    <n v="0.30000009925824317"/>
  </r>
  <r>
    <d v="2024-01-25T00:00:00"/>
    <x v="0"/>
    <s v="Cliente Final"/>
    <x v="4"/>
    <s v="Premium"/>
    <s v="Split Inverter"/>
    <n v="1"/>
    <n v="6799713"/>
    <n v="5439770"/>
    <s v="Lambaré"/>
    <n v="6799713"/>
    <n v="5439770"/>
    <n v="1359943"/>
    <n v="0.20000005882601221"/>
  </r>
  <r>
    <d v="2024-06-25T00:00:00"/>
    <x v="3"/>
    <s v="Cliente Final"/>
    <x v="4"/>
    <s v="Medio"/>
    <s v="Split 12000 BTU"/>
    <n v="1"/>
    <n v="4024315"/>
    <n v="3018236"/>
    <s v="San Lorenzo"/>
    <n v="4024315"/>
    <n v="3018236"/>
    <n v="1006079"/>
    <n v="0.25000006212237363"/>
  </r>
  <r>
    <d v="2024-02-24T00:00:00"/>
    <x v="1"/>
    <s v="Cliente Final"/>
    <x v="4"/>
    <s v="Básico"/>
    <s v="Aire Ventana"/>
    <n v="1"/>
    <n v="3494884"/>
    <n v="2516316"/>
    <s v="Luque"/>
    <n v="3494884"/>
    <n v="2516316"/>
    <n v="978568"/>
    <n v="0.28000013734361429"/>
  </r>
  <r>
    <d v="2024-01-04T00:00:00"/>
    <x v="2"/>
    <s v="Cliente Final"/>
    <x v="1"/>
    <s v="Premium"/>
    <s v="Procesadora Premium"/>
    <n v="1"/>
    <n v="1823211"/>
    <n v="1276247"/>
    <s v="San Lorenzo"/>
    <n v="1823211"/>
    <n v="1276247"/>
    <n v="546964"/>
    <n v="0.30000038393800826"/>
  </r>
  <r>
    <d v="2024-01-16T00:00:00"/>
    <x v="3"/>
    <s v="Cliente Final"/>
    <x v="1"/>
    <s v="Medio"/>
    <s v="Cafetera Eléctrica"/>
    <n v="3"/>
    <n v="1037451"/>
    <n v="674343"/>
    <s v="Fernando de la Mora"/>
    <n v="3112353"/>
    <n v="2023029"/>
    <n v="1089324"/>
    <n v="0.35000014458514184"/>
  </r>
  <r>
    <d v="2024-06-12T00:00:00"/>
    <x v="2"/>
    <s v="Cliente Final"/>
    <x v="1"/>
    <s v="Básico"/>
    <s v="Licuadora Básica"/>
    <n v="2"/>
    <n v="401816"/>
    <n v="241089"/>
    <s v="Fernando de la Mora"/>
    <n v="803632"/>
    <n v="482178"/>
    <n v="321454"/>
    <n v="0.40000149322077766"/>
  </r>
  <r>
    <d v="2024-01-20T00:00:00"/>
    <x v="1"/>
    <s v="Cliente Final"/>
    <x v="3"/>
    <s v="Medio"/>
    <s v="Heladera Inverter 300L"/>
    <n v="1"/>
    <n v="3486040"/>
    <n v="2719111"/>
    <s v="Fernando de la Mora"/>
    <n v="3486040"/>
    <n v="2719111"/>
    <n v="766929"/>
    <n v="0.22000005737168821"/>
  </r>
  <r>
    <d v="2024-03-15T00:00:00"/>
    <x v="1"/>
    <s v="Cliente Final"/>
    <x v="4"/>
    <s v="Medio"/>
    <s v="Split 12000 BTU"/>
    <n v="1"/>
    <n v="5966561"/>
    <n v="4474920"/>
    <s v="Luque"/>
    <n v="5966561"/>
    <n v="4474920"/>
    <n v="1491641"/>
    <n v="0.25000012570055014"/>
  </r>
  <r>
    <d v="2024-04-19T00:00:00"/>
    <x v="2"/>
    <s v="Cliente Final"/>
    <x v="1"/>
    <s v="Básico"/>
    <s v="Licuadora Básica"/>
    <n v="2"/>
    <n v="434980"/>
    <n v="260988"/>
    <s v="Lambaré"/>
    <n v="869960"/>
    <n v="521976"/>
    <n v="347984"/>
    <n v="0.4"/>
  </r>
  <r>
    <d v="2024-05-16T00:00:00"/>
    <x v="2"/>
    <s v="Cliente Final"/>
    <x v="0"/>
    <s v="Premium"/>
    <s v="Lavarropas Inverter"/>
    <n v="1"/>
    <n v="4643345"/>
    <n v="3714676"/>
    <s v="Fernando de la Mora"/>
    <n v="4643345"/>
    <n v="3714676"/>
    <n v="928669"/>
    <n v="0.2"/>
  </r>
  <r>
    <d v="2024-03-23T00:00:00"/>
    <x v="0"/>
    <s v="Cliente Final"/>
    <x v="0"/>
    <s v="Básico"/>
    <s v="Lavarropas Semiautomático"/>
    <n v="1"/>
    <n v="2281916"/>
    <n v="1711437"/>
    <s v="Lambaré"/>
    <n v="2281916"/>
    <n v="1711437"/>
    <n v="570479"/>
    <n v="0.25"/>
  </r>
  <r>
    <d v="2024-04-05T00:00:00"/>
    <x v="0"/>
    <s v="Cliente Final"/>
    <x v="2"/>
    <s v="Medio"/>
    <s v="Smart TV 50&quot;"/>
    <n v="1"/>
    <n v="1558181"/>
    <n v="1168635"/>
    <s v="Lambaré"/>
    <n v="1558181"/>
    <n v="1168635"/>
    <n v="389546"/>
    <n v="0.25000048133047442"/>
  </r>
  <r>
    <d v="2024-01-30T00:00:00"/>
    <x v="3"/>
    <s v="Cliente Final"/>
    <x v="3"/>
    <s v="Básico"/>
    <s v="Heladera Básica 250L"/>
    <n v="1"/>
    <n v="2178732"/>
    <n v="1634049"/>
    <s v="Asunción"/>
    <n v="2178732"/>
    <n v="1634049"/>
    <n v="544683"/>
    <n v="0.25"/>
  </r>
  <r>
    <d v="2024-03-01T00:00:00"/>
    <x v="1"/>
    <s v="Cliente Final"/>
    <x v="1"/>
    <s v="Medio"/>
    <s v="Cafetera Eléctrica"/>
    <n v="3"/>
    <n v="713013"/>
    <n v="463458"/>
    <s v="Lambaré"/>
    <n v="2139039"/>
    <n v="1390374"/>
    <n v="748665"/>
    <n v="0.35000063112453772"/>
  </r>
  <r>
    <d v="2024-06-18T00:00:00"/>
    <x v="1"/>
    <s v="Cliente Final"/>
    <x v="2"/>
    <s v="Premium"/>
    <s v="Smart TV 65&quot; 4K"/>
    <n v="1"/>
    <n v="2171803"/>
    <n v="1737442"/>
    <s v="Asunción"/>
    <n v="2171803"/>
    <n v="1737442"/>
    <n v="434361"/>
    <n v="0.20000018417876758"/>
  </r>
  <r>
    <d v="2024-03-12T00:00:00"/>
    <x v="3"/>
    <s v="Cliente Final"/>
    <x v="4"/>
    <s v="Medio"/>
    <s v="Split 12000 BTU"/>
    <n v="1"/>
    <n v="4798162"/>
    <n v="3598621"/>
    <s v="Lambaré"/>
    <n v="4798162"/>
    <n v="3598621"/>
    <n v="1199541"/>
    <n v="0.2500001042065691"/>
  </r>
  <r>
    <d v="2024-01-05T00:00:00"/>
    <x v="1"/>
    <s v="Cliente Final"/>
    <x v="4"/>
    <s v="Básico"/>
    <s v="Aire Ventana"/>
    <n v="1"/>
    <n v="3081328"/>
    <n v="2218556"/>
    <s v="Fernando de la Mora"/>
    <n v="3081328"/>
    <n v="2218556"/>
    <n v="862772"/>
    <n v="0.28000005192566324"/>
  </r>
  <r>
    <d v="2024-06-16T00:00:00"/>
    <x v="1"/>
    <s v="Cliente Final"/>
    <x v="2"/>
    <s v="Medio"/>
    <s v="Smart TV 50&quot;"/>
    <n v="1"/>
    <n v="1698821"/>
    <n v="1274115"/>
    <s v="Fernando de la Mora"/>
    <n v="1698821"/>
    <n v="1274115"/>
    <n v="424706"/>
    <n v="0.25000044148265177"/>
  </r>
  <r>
    <d v="2024-01-19T00:00:00"/>
    <x v="1"/>
    <s v="Cliente Final"/>
    <x v="0"/>
    <s v="Medio"/>
    <s v="Lavarropas Automático"/>
    <n v="1"/>
    <n v="2939051"/>
    <n v="2292459"/>
    <s v="Asunción"/>
    <n v="2939051"/>
    <n v="2292459"/>
    <n v="646592"/>
    <n v="0.22000026539178802"/>
  </r>
  <r>
    <d v="2024-01-24T00:00:00"/>
    <x v="3"/>
    <s v="Cliente Final"/>
    <x v="1"/>
    <s v="Básico"/>
    <s v="Licuadora Básica"/>
    <n v="1"/>
    <n v="362934"/>
    <n v="217760"/>
    <s v="Luque"/>
    <n v="362934"/>
    <n v="217760"/>
    <n v="145174"/>
    <n v="0.40000110212876172"/>
  </r>
  <r>
    <d v="2024-05-01T00:00:00"/>
    <x v="2"/>
    <s v="Cliente Final"/>
    <x v="2"/>
    <s v="Premium"/>
    <s v="Smart TV 65&quot; 4K"/>
    <n v="1"/>
    <n v="2881530"/>
    <n v="2305224"/>
    <s v="Luque"/>
    <n v="2881530"/>
    <n v="2305224"/>
    <n v="576306"/>
    <n v="0.2"/>
  </r>
  <r>
    <d v="2024-03-20T00:00:00"/>
    <x v="2"/>
    <s v="Cliente Final"/>
    <x v="2"/>
    <s v="Premium"/>
    <s v="Smart TV 65&quot; 4K"/>
    <n v="1"/>
    <n v="3120751"/>
    <n v="2496600"/>
    <s v="San Lorenzo"/>
    <n v="3120751"/>
    <n v="2496600"/>
    <n v="624151"/>
    <n v="0.20000025634855201"/>
  </r>
  <r>
    <d v="2024-06-01T00:00:00"/>
    <x v="0"/>
    <s v="Cliente Final"/>
    <x v="1"/>
    <s v="Medio"/>
    <s v="Cafetera Eléctrica"/>
    <n v="1"/>
    <n v="1098640"/>
    <n v="714116"/>
    <s v="Luque"/>
    <n v="1098640"/>
    <n v="714116"/>
    <n v="384524"/>
    <n v="0.35"/>
  </r>
  <r>
    <d v="2024-06-26T00:00:00"/>
    <x v="1"/>
    <s v="Cliente Final"/>
    <x v="4"/>
    <s v="Medio"/>
    <s v="Split 12000 BTU"/>
    <n v="1"/>
    <n v="5085933"/>
    <n v="3814449"/>
    <s v="Fernando de la Mora"/>
    <n v="5085933"/>
    <n v="3814449"/>
    <n v="1271484"/>
    <n v="0.25000014746556826"/>
  </r>
  <r>
    <d v="2024-06-23T00:00:00"/>
    <x v="1"/>
    <s v="Cliente Final"/>
    <x v="2"/>
    <s v="Básico"/>
    <s v="TV LED 32&quot;"/>
    <n v="1"/>
    <n v="1272731"/>
    <n v="890911"/>
    <s v="Lambaré"/>
    <n v="1272731"/>
    <n v="890911"/>
    <n v="381820"/>
    <n v="0.30000054999838927"/>
  </r>
  <r>
    <d v="2024-06-30T00:00:00"/>
    <x v="1"/>
    <s v="Cliente Final"/>
    <x v="0"/>
    <s v="Premium"/>
    <s v="Lavarropas Inverter"/>
    <n v="1"/>
    <n v="4525737"/>
    <n v="3620589"/>
    <s v="Fernando de la Mora"/>
    <n v="4525737"/>
    <n v="3620589"/>
    <n v="905148"/>
    <n v="0.20000013257509219"/>
  </r>
  <r>
    <d v="2024-06-23T00:00:00"/>
    <x v="3"/>
    <s v="Cliente Final"/>
    <x v="4"/>
    <s v="Básico"/>
    <s v="Aire Ventana"/>
    <n v="1"/>
    <n v="2377441"/>
    <n v="1711757"/>
    <s v="Asunción"/>
    <n v="2377441"/>
    <n v="1711757"/>
    <n v="665684"/>
    <n v="0.2800002187225677"/>
  </r>
  <r>
    <d v="2024-06-25T00:00:00"/>
    <x v="0"/>
    <s v="Cliente Final"/>
    <x v="0"/>
    <s v="Medio"/>
    <s v="Lavarropas Automático"/>
    <n v="1"/>
    <n v="3005799"/>
    <n v="2344523"/>
    <s v="Asunción"/>
    <n v="3005799"/>
    <n v="2344523"/>
    <n v="661276"/>
    <n v="0.22000007319185347"/>
  </r>
  <r>
    <d v="2024-04-25T00:00:00"/>
    <x v="1"/>
    <s v="Cliente Final"/>
    <x v="3"/>
    <s v="Básico"/>
    <s v="Heladera Básica 250L"/>
    <n v="1"/>
    <n v="2411697"/>
    <n v="1808772"/>
    <s v="Fernando de la Mora"/>
    <n v="2411697"/>
    <n v="1808772"/>
    <n v="602925"/>
    <n v="0.25000031098434006"/>
  </r>
  <r>
    <d v="2024-03-06T00:00:00"/>
    <x v="0"/>
    <s v="Cliente Final"/>
    <x v="3"/>
    <s v="Básico"/>
    <s v="Heladera Básica 250L"/>
    <n v="1"/>
    <n v="2473082"/>
    <n v="1854811"/>
    <s v="Luque"/>
    <n v="2473082"/>
    <n v="1854811"/>
    <n v="618271"/>
    <n v="0.25000020217687891"/>
  </r>
  <r>
    <d v="2024-01-27T00:00:00"/>
    <x v="3"/>
    <s v="Cliente Final"/>
    <x v="0"/>
    <s v="Medio"/>
    <s v="Lavarropas Automático"/>
    <n v="1"/>
    <n v="3218208"/>
    <n v="2510202"/>
    <s v="San Lorenzo"/>
    <n v="3218208"/>
    <n v="2510202"/>
    <n v="708006"/>
    <n v="0.22000007457566448"/>
  </r>
  <r>
    <d v="2024-05-27T00:00:00"/>
    <x v="3"/>
    <s v="Cliente Final"/>
    <x v="1"/>
    <s v="Medio"/>
    <s v="Cafetera Eléctrica"/>
    <n v="1"/>
    <n v="1123917"/>
    <n v="730546"/>
    <s v="Asunción"/>
    <n v="1123917"/>
    <n v="730546"/>
    <n v="393371"/>
    <n v="0.35000004448727084"/>
  </r>
  <r>
    <d v="2024-03-31T00:00:00"/>
    <x v="0"/>
    <s v="Cliente Final"/>
    <x v="0"/>
    <s v="Medio"/>
    <s v="Lavarropas Automático"/>
    <n v="1"/>
    <n v="3863663"/>
    <n v="3013657"/>
    <s v="Lambaré"/>
    <n v="3863663"/>
    <n v="3013657"/>
    <n v="850006"/>
    <n v="0.2200000362350443"/>
  </r>
  <r>
    <d v="2024-03-10T00:00:00"/>
    <x v="3"/>
    <s v="Cliente Final"/>
    <x v="2"/>
    <s v="Básico"/>
    <s v="TV LED 32&quot;"/>
    <n v="1"/>
    <n v="1169600"/>
    <n v="818720"/>
    <s v="Lambaré"/>
    <n v="1169600"/>
    <n v="818720"/>
    <n v="350880"/>
    <n v="0.3"/>
  </r>
  <r>
    <d v="2024-01-29T00:00:00"/>
    <x v="2"/>
    <s v="Cliente Final"/>
    <x v="2"/>
    <s v="Medio"/>
    <s v="Smart TV 50&quot;"/>
    <n v="1"/>
    <n v="1382270"/>
    <n v="1036702"/>
    <s v="Asunción"/>
    <n v="1382270"/>
    <n v="1036702"/>
    <n v="345568"/>
    <n v="0.25000036172383111"/>
  </r>
  <r>
    <d v="2024-03-29T00:00:00"/>
    <x v="0"/>
    <s v="Cliente Final"/>
    <x v="3"/>
    <s v="Premium"/>
    <s v="Heladera Premium 450L"/>
    <n v="1"/>
    <n v="6845414"/>
    <n v="5476331"/>
    <s v="Asunción"/>
    <n v="6845414"/>
    <n v="5476331"/>
    <n v="1369083"/>
    <n v="0.20000002921664051"/>
  </r>
  <r>
    <d v="2024-01-22T00:00:00"/>
    <x v="3"/>
    <s v="Cliente Final"/>
    <x v="0"/>
    <s v="Básico"/>
    <s v="Lavarropas Semiautomático"/>
    <n v="1"/>
    <n v="2050759"/>
    <n v="1538069"/>
    <s v="Luque"/>
    <n v="2050759"/>
    <n v="1538069"/>
    <n v="512690"/>
    <n v="0.2500001219060845"/>
  </r>
  <r>
    <d v="2024-02-12T00:00:00"/>
    <x v="3"/>
    <s v="Cliente Final"/>
    <x v="0"/>
    <s v="Básico"/>
    <s v="Lavarropas Semiautomático"/>
    <n v="1"/>
    <n v="2150281"/>
    <n v="1612710"/>
    <s v="Fernando de la Mora"/>
    <n v="2150281"/>
    <n v="1612710"/>
    <n v="537571"/>
    <n v="0.25000034879162303"/>
  </r>
  <r>
    <d v="2024-02-19T00:00:00"/>
    <x v="3"/>
    <s v="Cliente Final"/>
    <x v="4"/>
    <s v="Premium"/>
    <s v="Split Inverter"/>
    <n v="1"/>
    <n v="7859161"/>
    <n v="6287328"/>
    <s v="Luque"/>
    <n v="7859161"/>
    <n v="6287328"/>
    <n v="1571833"/>
    <n v="0.20000010179203606"/>
  </r>
  <r>
    <d v="2024-03-20T00:00:00"/>
    <x v="0"/>
    <s v="Cliente Final"/>
    <x v="4"/>
    <s v="Básico"/>
    <s v="Aire Ventana"/>
    <n v="1"/>
    <n v="2353524"/>
    <n v="1694537"/>
    <s v="Fernando de la Mora"/>
    <n v="2353524"/>
    <n v="1694537"/>
    <n v="658987"/>
    <n v="0.28000011897053101"/>
  </r>
  <r>
    <d v="2024-04-18T00:00:00"/>
    <x v="0"/>
    <s v="Cliente Final"/>
    <x v="3"/>
    <s v="Básico"/>
    <s v="Heladera Básica 250L"/>
    <n v="1"/>
    <n v="2041727"/>
    <n v="1531295"/>
    <s v="San Lorenzo"/>
    <n v="2041727"/>
    <n v="1531295"/>
    <n v="510432"/>
    <n v="0.25000012244536118"/>
  </r>
  <r>
    <d v="2024-06-22T00:00:00"/>
    <x v="0"/>
    <s v="Cliente Final"/>
    <x v="1"/>
    <s v="Medio"/>
    <s v="Cafetera Eléctrica"/>
    <n v="1"/>
    <n v="1061797"/>
    <n v="690168"/>
    <s v="Fernando de la Mora"/>
    <n v="1061797"/>
    <n v="690168"/>
    <n v="371629"/>
    <n v="0.3500000470899805"/>
  </r>
  <r>
    <d v="2024-05-07T00:00:00"/>
    <x v="0"/>
    <s v="Cliente Final"/>
    <x v="1"/>
    <s v="Premium"/>
    <s v="Procesadora Premium"/>
    <n v="2"/>
    <n v="1750506"/>
    <n v="1225354"/>
    <s v="Fernando de la Mora"/>
    <n v="3501012"/>
    <n v="2450708"/>
    <n v="1050304"/>
    <n v="0.30000011425267892"/>
  </r>
  <r>
    <d v="2024-02-29T00:00:00"/>
    <x v="2"/>
    <s v="Cliente Final"/>
    <x v="1"/>
    <s v="Medio"/>
    <s v="Cafetera Eléctrica"/>
    <n v="1"/>
    <n v="602674"/>
    <n v="391738"/>
    <s v="Fernando de la Mora"/>
    <n v="602674"/>
    <n v="391738"/>
    <n v="210936"/>
    <n v="0.35000016592718453"/>
  </r>
  <r>
    <d v="2024-05-08T00:00:00"/>
    <x v="1"/>
    <s v="Cliente Final"/>
    <x v="4"/>
    <s v="Básico"/>
    <s v="Aire Ventana"/>
    <n v="1"/>
    <n v="3363763"/>
    <n v="2421909"/>
    <s v="Luque"/>
    <n v="3363763"/>
    <n v="2421909"/>
    <n v="941854"/>
    <n v="0.28000010702299777"/>
  </r>
  <r>
    <d v="2024-01-31T00:00:00"/>
    <x v="1"/>
    <s v="Cliente Final"/>
    <x v="0"/>
    <s v="Premium"/>
    <s v="Lavarropas Inverter"/>
    <n v="1"/>
    <n v="4789065"/>
    <n v="3831252"/>
    <s v="Luque"/>
    <n v="4789065"/>
    <n v="3831252"/>
    <n v="957813"/>
    <n v="0.2"/>
  </r>
  <r>
    <d v="2024-03-06T00:00:00"/>
    <x v="0"/>
    <s v="Cliente Final"/>
    <x v="4"/>
    <s v="Premium"/>
    <s v="Split Inverter"/>
    <n v="1"/>
    <n v="7111825"/>
    <n v="5689460"/>
    <s v="Fernando de la Mora"/>
    <n v="7111825"/>
    <n v="5689460"/>
    <n v="1422365"/>
    <n v="0.2"/>
  </r>
  <r>
    <d v="2024-04-16T00:00:00"/>
    <x v="3"/>
    <s v="Cliente Final"/>
    <x v="4"/>
    <s v="Premium"/>
    <s v="Split Inverter"/>
    <n v="1"/>
    <n v="7801816"/>
    <n v="6241452"/>
    <s v="Fernando de la Mora"/>
    <n v="7801816"/>
    <n v="6241452"/>
    <n v="1560364"/>
    <n v="0.2000001025402291"/>
  </r>
  <r>
    <d v="2024-02-22T00:00:00"/>
    <x v="1"/>
    <s v="Cliente Final"/>
    <x v="1"/>
    <s v="Premium"/>
    <s v="Procesadora Premium"/>
    <n v="1"/>
    <n v="1482041"/>
    <n v="1037428"/>
    <s v="Lambaré"/>
    <n v="1482041"/>
    <n v="1037428"/>
    <n v="444613"/>
    <n v="0.30000047232161592"/>
  </r>
  <r>
    <d v="2024-04-21T00:00:00"/>
    <x v="3"/>
    <s v="Cliente Final"/>
    <x v="0"/>
    <s v="Medio"/>
    <s v="Lavarropas Automático"/>
    <n v="1"/>
    <n v="3869150"/>
    <n v="3017937"/>
    <s v="Asunción"/>
    <n v="3869150"/>
    <n v="3017937"/>
    <n v="851213"/>
    <n v="0.22"/>
  </r>
  <r>
    <d v="2024-04-20T00:00:00"/>
    <x v="2"/>
    <s v="Cliente Final"/>
    <x v="4"/>
    <s v="Premium"/>
    <s v="Split Inverter"/>
    <n v="1"/>
    <n v="8264220"/>
    <n v="6611376"/>
    <s v="Fernando de la Mora"/>
    <n v="8264220"/>
    <n v="6611376"/>
    <n v="1652844"/>
    <n v="0.2"/>
  </r>
  <r>
    <d v="2024-01-25T00:00:00"/>
    <x v="1"/>
    <s v="Cliente Final"/>
    <x v="4"/>
    <s v="Premium"/>
    <s v="Split Inverter"/>
    <n v="1"/>
    <n v="7848234"/>
    <n v="6278587"/>
    <s v="Lambaré"/>
    <n v="7848234"/>
    <n v="6278587"/>
    <n v="1569647"/>
    <n v="0.20000002548343998"/>
  </r>
  <r>
    <d v="2024-06-19T00:00:00"/>
    <x v="1"/>
    <s v="Cliente Final"/>
    <x v="0"/>
    <s v="Premium"/>
    <s v="Lavarropas Inverter"/>
    <n v="1"/>
    <n v="4750317"/>
    <n v="3800253"/>
    <s v="Fernando de la Mora"/>
    <n v="4750317"/>
    <n v="3800253"/>
    <n v="950064"/>
    <n v="0.20000012630736011"/>
  </r>
  <r>
    <d v="2024-06-08T00:00:00"/>
    <x v="0"/>
    <s v="Cliente Final"/>
    <x v="1"/>
    <s v="Básico"/>
    <s v="Licuadora Básica"/>
    <n v="1"/>
    <n v="443501"/>
    <n v="266100"/>
    <s v="Luque"/>
    <n v="443501"/>
    <n v="266100"/>
    <n v="177401"/>
    <n v="0.40000135287180866"/>
  </r>
  <r>
    <d v="2024-06-10T00:00:00"/>
    <x v="3"/>
    <s v="Cliente Final"/>
    <x v="1"/>
    <s v="Medio"/>
    <s v="Cafetera Eléctrica"/>
    <n v="2"/>
    <n v="633951"/>
    <n v="412068"/>
    <s v="Fernando de la Mora"/>
    <n v="1267902"/>
    <n v="824136"/>
    <n v="443766"/>
    <n v="0.35000023661134694"/>
  </r>
  <r>
    <d v="2024-03-04T00:00:00"/>
    <x v="1"/>
    <s v="Cliente Final"/>
    <x v="4"/>
    <s v="Medio"/>
    <s v="Split 12000 BTU"/>
    <n v="1"/>
    <n v="4611798"/>
    <n v="3458848"/>
    <s v="Fernando de la Mora"/>
    <n v="4611798"/>
    <n v="3458848"/>
    <n v="1152950"/>
    <n v="0.25000010841758463"/>
  </r>
  <r>
    <d v="2024-03-21T00:00:00"/>
    <x v="2"/>
    <s v="Cliente Final"/>
    <x v="4"/>
    <s v="Medio"/>
    <s v="Split 12000 BTU"/>
    <n v="1"/>
    <n v="3758584"/>
    <n v="2818938"/>
    <s v="Fernando de la Mora"/>
    <n v="3758584"/>
    <n v="2818938"/>
    <n v="939646"/>
    <n v="0.25"/>
  </r>
  <r>
    <d v="2024-04-24T00:00:00"/>
    <x v="2"/>
    <s v="Cliente Final"/>
    <x v="0"/>
    <s v="Medio"/>
    <s v="Lavarropas Automático"/>
    <n v="1"/>
    <n v="3140269"/>
    <n v="2449409"/>
    <s v="San Lorenzo"/>
    <n v="3140269"/>
    <n v="2449409"/>
    <n v="690860"/>
    <n v="0.22000026112412663"/>
  </r>
  <r>
    <d v="2024-01-11T00:00:00"/>
    <x v="1"/>
    <s v="Cliente Final"/>
    <x v="1"/>
    <s v="Medio"/>
    <s v="Cafetera Eléctrica"/>
    <n v="1"/>
    <n v="1035352"/>
    <n v="672978"/>
    <s v="Lambaré"/>
    <n v="1035352"/>
    <n v="672978"/>
    <n v="362374"/>
    <n v="0.35000077268407265"/>
  </r>
  <r>
    <d v="2024-02-26T00:00:00"/>
    <x v="2"/>
    <s v="Cliente Final"/>
    <x v="3"/>
    <s v="Medio"/>
    <s v="Heladera Inverter 300L"/>
    <n v="1"/>
    <n v="4028971"/>
    <n v="3142597"/>
    <s v="Luque"/>
    <n v="4028971"/>
    <n v="3142597"/>
    <n v="886374"/>
    <n v="0.22000009431688636"/>
  </r>
  <r>
    <d v="2024-05-04T00:00:00"/>
    <x v="3"/>
    <s v="Cliente Final"/>
    <x v="0"/>
    <s v="Básico"/>
    <s v="Lavarropas Semiautomático"/>
    <n v="1"/>
    <n v="2087607"/>
    <n v="1565705"/>
    <s v="Asunción"/>
    <n v="2087607"/>
    <n v="1565705"/>
    <n v="521902"/>
    <n v="0.25000011975434072"/>
  </r>
  <r>
    <d v="2024-06-16T00:00:00"/>
    <x v="3"/>
    <s v="Cliente Final"/>
    <x v="4"/>
    <s v="Premium"/>
    <s v="Split Inverter"/>
    <n v="1"/>
    <n v="6279844"/>
    <n v="5023875"/>
    <s v="Lambaré"/>
    <n v="6279844"/>
    <n v="5023875"/>
    <n v="1255969"/>
    <n v="0.20000003184792489"/>
  </r>
  <r>
    <d v="2024-05-01T00:00:00"/>
    <x v="1"/>
    <s v="Cliente Final"/>
    <x v="2"/>
    <s v="Básico"/>
    <s v="TV LED 32&quot;"/>
    <n v="1"/>
    <n v="915187"/>
    <n v="640630"/>
    <s v="Fernando de la Mora"/>
    <n v="915187"/>
    <n v="640630"/>
    <n v="274557"/>
    <n v="0.30000098340557724"/>
  </r>
  <r>
    <d v="2024-04-17T00:00:00"/>
    <x v="0"/>
    <s v="Cliente Final"/>
    <x v="4"/>
    <s v="Premium"/>
    <s v="Split Inverter"/>
    <n v="1"/>
    <n v="8075543"/>
    <n v="6460434"/>
    <s v="Fernando de la Mora"/>
    <n v="8075543"/>
    <n v="6460434"/>
    <n v="1615109"/>
    <n v="0.20000004953227293"/>
  </r>
  <r>
    <d v="2024-05-23T00:00:00"/>
    <x v="3"/>
    <s v="Cliente Final"/>
    <x v="3"/>
    <s v="Medio"/>
    <s v="Heladera Inverter 300L"/>
    <n v="1"/>
    <n v="4176717"/>
    <n v="3257839"/>
    <s v="Lambaré"/>
    <n v="4176717"/>
    <n v="3257839"/>
    <n v="918878"/>
    <n v="0.22000006224984839"/>
  </r>
  <r>
    <d v="2024-04-29T00:00:00"/>
    <x v="1"/>
    <s v="Cliente Final"/>
    <x v="2"/>
    <s v="Básico"/>
    <s v="TV LED 32&quot;"/>
    <n v="1"/>
    <n v="1125445"/>
    <n v="787811"/>
    <s v="Asunción"/>
    <n v="1125445"/>
    <n v="787811"/>
    <n v="337634"/>
    <n v="0.30000044426871147"/>
  </r>
  <r>
    <d v="2024-05-08T00:00:00"/>
    <x v="2"/>
    <s v="Cliente Final"/>
    <x v="0"/>
    <s v="Medio"/>
    <s v="Lavarropas Automático"/>
    <n v="1"/>
    <n v="3265466"/>
    <n v="2547063"/>
    <s v="Asunción"/>
    <n v="3265466"/>
    <n v="2547063"/>
    <n v="718403"/>
    <n v="0.22000014699280288"/>
  </r>
  <r>
    <d v="2024-05-02T00:00:00"/>
    <x v="2"/>
    <s v="Cliente Final"/>
    <x v="3"/>
    <s v="Premium"/>
    <s v="Heladera Premium 450L"/>
    <n v="1"/>
    <n v="5444743"/>
    <n v="4355794"/>
    <s v="Fernando de la Mora"/>
    <n v="5444743"/>
    <n v="4355794"/>
    <n v="1088949"/>
    <n v="0.20000007346535917"/>
  </r>
  <r>
    <d v="2024-06-06T00:00:00"/>
    <x v="2"/>
    <s v="Cliente Final"/>
    <x v="0"/>
    <s v="Medio"/>
    <s v="Lavarropas Automático"/>
    <n v="1"/>
    <n v="3516211"/>
    <n v="2742644"/>
    <s v="Asunción"/>
    <n v="3516211"/>
    <n v="2742644"/>
    <n v="773567"/>
    <n v="0.22000016495028313"/>
  </r>
  <r>
    <d v="2024-05-02T00:00:00"/>
    <x v="1"/>
    <s v="Cliente Final"/>
    <x v="3"/>
    <s v="Medio"/>
    <s v="Heladera Inverter 300L"/>
    <n v="1"/>
    <n v="4160355"/>
    <n v="3245076"/>
    <s v="Fernando de la Mora"/>
    <n v="4160355"/>
    <n v="3245076"/>
    <n v="915279"/>
    <n v="0.22000021632769318"/>
  </r>
  <r>
    <d v="2024-03-30T00:00:00"/>
    <x v="2"/>
    <s v="Cliente Final"/>
    <x v="1"/>
    <s v="Premium"/>
    <s v="Procesadora Premium"/>
    <n v="1"/>
    <n v="1365626"/>
    <n v="955938"/>
    <s v="Lambaré"/>
    <n v="1365626"/>
    <n v="955938"/>
    <n v="409688"/>
    <n v="0.30000014645298201"/>
  </r>
  <r>
    <d v="2024-06-27T00:00:00"/>
    <x v="1"/>
    <s v="Cliente Final"/>
    <x v="0"/>
    <s v="Medio"/>
    <s v="Lavarropas Automático"/>
    <n v="1"/>
    <n v="3904933"/>
    <n v="3045847"/>
    <s v="Asunción"/>
    <n v="3904933"/>
    <n v="3045847"/>
    <n v="859086"/>
    <n v="0.22000018950389161"/>
  </r>
  <r>
    <d v="2024-04-09T00:00:00"/>
    <x v="2"/>
    <s v="Cliente Final"/>
    <x v="3"/>
    <s v="Premium"/>
    <s v="Heladera Premium 450L"/>
    <n v="1"/>
    <n v="9320621"/>
    <n v="7456496"/>
    <s v="Fernando de la Mora"/>
    <n v="9320621"/>
    <n v="7456496"/>
    <n v="1864125"/>
    <n v="0.20000008583119086"/>
  </r>
  <r>
    <d v="2024-02-03T00:00:00"/>
    <x v="3"/>
    <s v="Cliente Final"/>
    <x v="2"/>
    <s v="Básico"/>
    <s v="TV LED 32&quot;"/>
    <n v="1"/>
    <n v="1111076"/>
    <n v="777753"/>
    <s v="Luque"/>
    <n v="1111076"/>
    <n v="777753"/>
    <n v="333323"/>
    <n v="0.30000018000568818"/>
  </r>
  <r>
    <d v="2024-05-29T00:00:00"/>
    <x v="1"/>
    <s v="Cliente Final"/>
    <x v="3"/>
    <s v="Básico"/>
    <s v="Heladera Básica 250L"/>
    <n v="1"/>
    <n v="2107079"/>
    <n v="1580309"/>
    <s v="San Lorenzo"/>
    <n v="2107079"/>
    <n v="1580309"/>
    <n v="526770"/>
    <n v="0.25000011864766342"/>
  </r>
  <r>
    <d v="2024-05-13T00:00:00"/>
    <x v="2"/>
    <s v="Cliente Final"/>
    <x v="0"/>
    <s v="Básico"/>
    <s v="Lavarropas Semiautomático"/>
    <n v="1"/>
    <n v="2134014"/>
    <n v="1600510"/>
    <s v="Fernando de la Mora"/>
    <n v="2134014"/>
    <n v="1600510"/>
    <n v="533504"/>
    <n v="0.2500002343002436"/>
  </r>
  <r>
    <d v="2024-05-01T00:00:00"/>
    <x v="1"/>
    <s v="Cliente Final"/>
    <x v="0"/>
    <s v="Medio"/>
    <s v="Lavarropas Automático"/>
    <n v="1"/>
    <n v="3270110"/>
    <n v="2550685"/>
    <s v="Lambaré"/>
    <n v="3270110"/>
    <n v="2550685"/>
    <n v="719425"/>
    <n v="0.22000024464008855"/>
  </r>
  <r>
    <d v="2024-05-20T00:00:00"/>
    <x v="2"/>
    <s v="Cliente Final"/>
    <x v="3"/>
    <s v="Básico"/>
    <s v="Heladera Básica 250L"/>
    <n v="1"/>
    <n v="2820489"/>
    <n v="2115366"/>
    <s v="Fernando de la Mora"/>
    <n v="2820489"/>
    <n v="2115366"/>
    <n v="705123"/>
    <n v="0.25000026591133667"/>
  </r>
  <r>
    <d v="2024-06-04T00:00:00"/>
    <x v="2"/>
    <s v="Cliente Final"/>
    <x v="1"/>
    <s v="Premium"/>
    <s v="Procesadora Premium"/>
    <n v="2"/>
    <n v="1453506"/>
    <n v="1017454"/>
    <s v="Asunción"/>
    <n v="2907012"/>
    <n v="2034908"/>
    <n v="872104"/>
    <n v="0.30000013759833122"/>
  </r>
  <r>
    <d v="2024-04-08T00:00:00"/>
    <x v="2"/>
    <s v="Cliente Final"/>
    <x v="1"/>
    <s v="Básico"/>
    <s v="Licuadora Básica"/>
    <n v="3"/>
    <n v="305697"/>
    <n v="183418"/>
    <s v="Lambaré"/>
    <n v="917091"/>
    <n v="550254"/>
    <n v="366837"/>
    <n v="0.40000065424259967"/>
  </r>
  <r>
    <d v="2024-02-17T00:00:00"/>
    <x v="0"/>
    <s v="Cliente Final"/>
    <x v="2"/>
    <s v="Medio"/>
    <s v="Smart TV 50&quot;"/>
    <n v="1"/>
    <n v="1867153"/>
    <n v="1400364"/>
    <s v="Asunción"/>
    <n v="1867153"/>
    <n v="1400364"/>
    <n v="466789"/>
    <n v="0.25000040168106202"/>
  </r>
  <r>
    <d v="2024-02-29T00:00:00"/>
    <x v="3"/>
    <s v="Cliente Final"/>
    <x v="4"/>
    <s v="Básico"/>
    <s v="Aire Ventana"/>
    <n v="1"/>
    <n v="2769884"/>
    <n v="1994316"/>
    <s v="Lambaré"/>
    <n v="2769884"/>
    <n v="1994316"/>
    <n v="775568"/>
    <n v="0.28000017329245558"/>
  </r>
  <r>
    <d v="2024-01-23T00:00:00"/>
    <x v="2"/>
    <s v="Cliente Final"/>
    <x v="3"/>
    <s v="Premium"/>
    <s v="Heladera Premium 450L"/>
    <n v="1"/>
    <n v="7220864"/>
    <n v="5776691"/>
    <s v="Lambaré"/>
    <n v="7220864"/>
    <n v="5776691"/>
    <n v="1444173"/>
    <n v="0.20000002769751654"/>
  </r>
  <r>
    <d v="2024-05-19T00:00:00"/>
    <x v="2"/>
    <s v="Cliente Final"/>
    <x v="4"/>
    <s v="Premium"/>
    <s v="Split Inverter"/>
    <n v="1"/>
    <n v="6676398"/>
    <n v="5341118"/>
    <s v="San Lorenzo"/>
    <n v="6676398"/>
    <n v="5341118"/>
    <n v="1335280"/>
    <n v="0.20000005991254566"/>
  </r>
  <r>
    <d v="2024-06-19T00:00:00"/>
    <x v="0"/>
    <s v="Cliente Final"/>
    <x v="1"/>
    <s v="Premium"/>
    <s v="Procesadora Premium"/>
    <n v="2"/>
    <n v="1969482"/>
    <n v="1378637"/>
    <s v="Lambaré"/>
    <n v="3938964"/>
    <n v="2757274"/>
    <n v="1181690"/>
    <n v="0.30000020309908898"/>
  </r>
  <r>
    <d v="2024-05-22T00:00:00"/>
    <x v="2"/>
    <s v="Cliente Final"/>
    <x v="4"/>
    <s v="Premium"/>
    <s v="Split Inverter"/>
    <n v="1"/>
    <n v="6491681"/>
    <n v="5193344"/>
    <s v="Asunción"/>
    <n v="6491681"/>
    <n v="5193344"/>
    <n v="1298337"/>
    <n v="0.20000012323464447"/>
  </r>
  <r>
    <d v="2024-03-21T00:00:00"/>
    <x v="2"/>
    <s v="Cliente Final"/>
    <x v="0"/>
    <s v="Premium"/>
    <s v="Lavarropas Inverter"/>
    <n v="1"/>
    <n v="4222531"/>
    <n v="3378024"/>
    <s v="Lambaré"/>
    <n v="4222531"/>
    <n v="3378024"/>
    <n v="844507"/>
    <n v="0.20000018945982873"/>
  </r>
  <r>
    <d v="2024-05-06T00:00:00"/>
    <x v="3"/>
    <s v="Cliente Final"/>
    <x v="4"/>
    <s v="Básico"/>
    <s v="Aire Ventana"/>
    <n v="1"/>
    <n v="2077279"/>
    <n v="1495640"/>
    <s v="San Lorenzo"/>
    <n v="2077279"/>
    <n v="1495640"/>
    <n v="581639"/>
    <n v="0.28000042363110589"/>
  </r>
  <r>
    <d v="2024-03-03T00:00:00"/>
    <x v="2"/>
    <s v="Cliente Final"/>
    <x v="2"/>
    <s v="Básico"/>
    <s v="TV LED 32&quot;"/>
    <n v="1"/>
    <n v="891861"/>
    <n v="624302"/>
    <s v="Asunción"/>
    <n v="891861"/>
    <n v="624302"/>
    <n v="267559"/>
    <n v="0.30000078487567011"/>
  </r>
  <r>
    <d v="2024-02-01T00:00:00"/>
    <x v="3"/>
    <s v="Cliente Final"/>
    <x v="4"/>
    <s v="Medio"/>
    <s v="Split 12000 BTU"/>
    <n v="1"/>
    <n v="5695215"/>
    <n v="4271411"/>
    <s v="San Lorenzo"/>
    <n v="5695215"/>
    <n v="4271411"/>
    <n v="1423804"/>
    <n v="0.2500000438964991"/>
  </r>
  <r>
    <d v="2024-03-19T00:00:00"/>
    <x v="0"/>
    <s v="Cliente Final"/>
    <x v="3"/>
    <s v="Premium"/>
    <s v="Heladera Premium 450L"/>
    <n v="1"/>
    <n v="8330642"/>
    <n v="6664513"/>
    <s v="Fernando de la Mora"/>
    <n v="8330642"/>
    <n v="6664513"/>
    <n v="1666129"/>
    <n v="0.20000007202326064"/>
  </r>
  <r>
    <d v="2024-04-11T00:00:00"/>
    <x v="1"/>
    <s v="Cliente Final"/>
    <x v="1"/>
    <s v="Medio"/>
    <s v="Cafetera Eléctrica"/>
    <n v="2"/>
    <n v="873531"/>
    <n v="567795"/>
    <s v="San Lorenzo"/>
    <n v="1747062"/>
    <n v="1135590"/>
    <n v="611472"/>
    <n v="0.35000017171685949"/>
  </r>
  <r>
    <d v="2024-01-28T00:00:00"/>
    <x v="1"/>
    <s v="Cliente Final"/>
    <x v="3"/>
    <s v="Básico"/>
    <s v="Heladera Básica 250L"/>
    <n v="1"/>
    <n v="2627985"/>
    <n v="1970988"/>
    <s v="Lambaré"/>
    <n v="2627985"/>
    <n v="1970988"/>
    <n v="656997"/>
    <n v="0.25000028538975677"/>
  </r>
  <r>
    <d v="2024-05-01T00:00:00"/>
    <x v="2"/>
    <s v="Cliente Final"/>
    <x v="2"/>
    <s v="Básico"/>
    <s v="TV LED 32&quot;"/>
    <n v="1"/>
    <n v="961619"/>
    <n v="673133"/>
    <s v="Luque"/>
    <n v="961619"/>
    <n v="673133"/>
    <n v="288486"/>
    <n v="0.30000031197386906"/>
  </r>
  <r>
    <d v="2024-03-11T00:00:00"/>
    <x v="0"/>
    <s v="Cliente Final"/>
    <x v="0"/>
    <s v="Medio"/>
    <s v="Lavarropas Automático"/>
    <n v="1"/>
    <n v="2838242"/>
    <n v="2213828"/>
    <s v="Asunción"/>
    <n v="2838242"/>
    <n v="2213828"/>
    <n v="624414"/>
    <n v="0.22000026777138806"/>
  </r>
  <r>
    <d v="2024-06-18T00:00:00"/>
    <x v="0"/>
    <s v="Cliente Final"/>
    <x v="4"/>
    <s v="Medio"/>
    <s v="Split 12000 BTU"/>
    <n v="1"/>
    <n v="3771981"/>
    <n v="2828985"/>
    <s v="Asunción"/>
    <n v="3771981"/>
    <n v="2828985"/>
    <n v="942996"/>
    <n v="0.25000019883451163"/>
  </r>
  <r>
    <d v="2024-02-24T00:00:00"/>
    <x v="1"/>
    <s v="Cliente Final"/>
    <x v="4"/>
    <s v="Premium"/>
    <s v="Split Inverter"/>
    <n v="1"/>
    <n v="6376728"/>
    <n v="5101382"/>
    <s v="San Lorenzo"/>
    <n v="6376728"/>
    <n v="5101382"/>
    <n v="1275346"/>
    <n v="0.20000006272809503"/>
  </r>
  <r>
    <d v="2024-01-07T00:00:00"/>
    <x v="1"/>
    <s v="Cliente Final"/>
    <x v="3"/>
    <s v="Básico"/>
    <s v="Heladera Básica 250L"/>
    <n v="1"/>
    <n v="2061966"/>
    <n v="1546474"/>
    <s v="Asunción"/>
    <n v="2061966"/>
    <n v="1546474"/>
    <n v="515492"/>
    <n v="0.25000024248702452"/>
  </r>
  <r>
    <d v="2024-02-15T00:00:00"/>
    <x v="3"/>
    <s v="Cliente Final"/>
    <x v="2"/>
    <s v="Básico"/>
    <s v="TV LED 32&quot;"/>
    <n v="1"/>
    <n v="1052162"/>
    <n v="736513"/>
    <s v="Luque"/>
    <n v="1052162"/>
    <n v="736513"/>
    <n v="315649"/>
    <n v="0.30000038016959368"/>
  </r>
  <r>
    <d v="2024-04-03T00:00:00"/>
    <x v="3"/>
    <s v="Cliente Final"/>
    <x v="2"/>
    <s v="Medio"/>
    <s v="Smart TV 50&quot;"/>
    <n v="1"/>
    <n v="1914434"/>
    <n v="1435825"/>
    <s v="Luque"/>
    <n v="1914434"/>
    <n v="1435825"/>
    <n v="478609"/>
    <n v="0.25000026117379864"/>
  </r>
  <r>
    <d v="2024-06-14T00:00:00"/>
    <x v="1"/>
    <s v="Cliente Final"/>
    <x v="2"/>
    <s v="Medio"/>
    <s v="Smart TV 50&quot;"/>
    <n v="1"/>
    <n v="1339770"/>
    <n v="1004827"/>
    <s v="Fernando de la Mora"/>
    <n v="1339770"/>
    <n v="1004827"/>
    <n v="334943"/>
    <n v="0.25000037319838481"/>
  </r>
  <r>
    <d v="2024-01-14T00:00:00"/>
    <x v="0"/>
    <s v="Cliente Final"/>
    <x v="1"/>
    <s v="Premium"/>
    <s v="Procesadora Premium"/>
    <n v="1"/>
    <n v="1440543"/>
    <n v="1008380"/>
    <s v="Lambaré"/>
    <n v="1440543"/>
    <n v="1008380"/>
    <n v="432163"/>
    <n v="0.30000006941826796"/>
  </r>
  <r>
    <d v="2024-06-05T00:00:00"/>
    <x v="3"/>
    <s v="Cliente Final"/>
    <x v="4"/>
    <s v="Básico"/>
    <s v="Aire Ventana"/>
    <n v="1"/>
    <n v="2851320"/>
    <n v="2052950"/>
    <s v="Asunción"/>
    <n v="2851320"/>
    <n v="2052950"/>
    <n v="798370"/>
    <n v="0.28000014028590264"/>
  </r>
  <r>
    <d v="2024-04-10T00:00:00"/>
    <x v="3"/>
    <s v="Cliente Final"/>
    <x v="4"/>
    <s v="Premium"/>
    <s v="Split Inverter"/>
    <n v="1"/>
    <n v="7090631"/>
    <n v="5672504"/>
    <s v="San Lorenzo"/>
    <n v="7090631"/>
    <n v="5672504"/>
    <n v="1418127"/>
    <n v="0.20000011282493757"/>
  </r>
  <r>
    <d v="2024-06-13T00:00:00"/>
    <x v="1"/>
    <s v="Cliente Final"/>
    <x v="0"/>
    <s v="Básico"/>
    <s v="Lavarropas Semiautomático"/>
    <n v="1"/>
    <n v="2249321"/>
    <n v="1686990"/>
    <s v="San Lorenzo"/>
    <n v="2249321"/>
    <n v="1686990"/>
    <n v="562331"/>
    <n v="0.25000033343395628"/>
  </r>
  <r>
    <d v="2024-03-18T00:00:00"/>
    <x v="0"/>
    <s v="Cliente Final"/>
    <x v="2"/>
    <s v="Básico"/>
    <s v="TV LED 32&quot;"/>
    <n v="1"/>
    <n v="865164"/>
    <n v="605614"/>
    <s v="Fernando de la Mora"/>
    <n v="865164"/>
    <n v="605614"/>
    <n v="259550"/>
    <n v="0.30000092468017625"/>
  </r>
  <r>
    <d v="2024-06-16T00:00:00"/>
    <x v="2"/>
    <s v="Cliente Final"/>
    <x v="0"/>
    <s v="Medio"/>
    <s v="Lavarropas Automático"/>
    <n v="1"/>
    <n v="2892257"/>
    <n v="2255960"/>
    <s v="Lambaré"/>
    <n v="2892257"/>
    <n v="2255960"/>
    <n v="636297"/>
    <n v="0.2200001590453407"/>
  </r>
  <r>
    <d v="2024-05-11T00:00:00"/>
    <x v="3"/>
    <s v="Cliente Final"/>
    <x v="0"/>
    <s v="Premium"/>
    <s v="Lavarropas Inverter"/>
    <n v="1"/>
    <n v="5304718"/>
    <n v="4243774"/>
    <s v="Luque"/>
    <n v="5304718"/>
    <n v="4243774"/>
    <n v="1060944"/>
    <n v="0.20000007540457382"/>
  </r>
  <r>
    <d v="2024-05-11T00:00:00"/>
    <x v="2"/>
    <s v="Cliente Final"/>
    <x v="1"/>
    <s v="Básico"/>
    <s v="Licuadora Básica"/>
    <n v="2"/>
    <n v="187556"/>
    <n v="112533"/>
    <s v="Lambaré"/>
    <n v="375112"/>
    <n v="225066"/>
    <n v="150046"/>
    <n v="0.400003199044552"/>
  </r>
  <r>
    <d v="2024-02-04T00:00:00"/>
    <x v="3"/>
    <s v="Cliente Final"/>
    <x v="2"/>
    <s v="Básico"/>
    <s v="TV LED 32&quot;"/>
    <n v="1"/>
    <n v="1293067"/>
    <n v="905146"/>
    <s v="Asunción"/>
    <n v="1293067"/>
    <n v="905146"/>
    <n v="387921"/>
    <n v="0.30000069601961848"/>
  </r>
  <r>
    <d v="2024-02-13T00:00:00"/>
    <x v="2"/>
    <s v="Cliente Final"/>
    <x v="3"/>
    <s v="Medio"/>
    <s v="Heladera Inverter 300L"/>
    <n v="1"/>
    <n v="4543545"/>
    <n v="3543965"/>
    <s v="Asunción"/>
    <n v="4543545"/>
    <n v="3543965"/>
    <n v="999580"/>
    <n v="0.22000002200924609"/>
  </r>
  <r>
    <d v="2024-02-15T00:00:00"/>
    <x v="2"/>
    <s v="Cliente Final"/>
    <x v="1"/>
    <s v="Básico"/>
    <s v="Licuadora Básica"/>
    <n v="2"/>
    <n v="553619"/>
    <n v="332171"/>
    <s v="Lambaré"/>
    <n v="1107238"/>
    <n v="664342"/>
    <n v="442896"/>
    <n v="0.40000072251855517"/>
  </r>
  <r>
    <d v="2024-02-04T00:00:00"/>
    <x v="1"/>
    <s v="Cliente Final"/>
    <x v="0"/>
    <s v="Medio"/>
    <s v="Lavarropas Automático"/>
    <n v="1"/>
    <n v="3668456"/>
    <n v="2861395"/>
    <s v="San Lorenzo"/>
    <n v="3668456"/>
    <n v="2861395"/>
    <n v="807061"/>
    <n v="0.22000018536408777"/>
  </r>
  <r>
    <d v="2024-05-05T00:00:00"/>
    <x v="0"/>
    <s v="Cliente Final"/>
    <x v="0"/>
    <s v="Básico"/>
    <s v="Lavarropas Semiautomático"/>
    <n v="1"/>
    <n v="1781819"/>
    <n v="1336364"/>
    <s v="San Lorenzo"/>
    <n v="1781819"/>
    <n v="1336364"/>
    <n v="445455"/>
    <n v="0.25000014030605805"/>
  </r>
  <r>
    <d v="2024-02-04T00:00:00"/>
    <x v="3"/>
    <s v="Cliente Final"/>
    <x v="0"/>
    <s v="Básico"/>
    <s v="Lavarropas Semiautomático"/>
    <n v="1"/>
    <n v="1786744"/>
    <n v="1340058"/>
    <s v="Luque"/>
    <n v="1786744"/>
    <n v="1340058"/>
    <n v="446686"/>
    <n v="0.25"/>
  </r>
  <r>
    <d v="2024-02-28T00:00:00"/>
    <x v="1"/>
    <s v="Cliente Final"/>
    <x v="0"/>
    <s v="Básico"/>
    <s v="Lavarropas Semiautomático"/>
    <n v="1"/>
    <n v="2692296"/>
    <n v="2019222"/>
    <s v="Fernando de la Mora"/>
    <n v="2692296"/>
    <n v="2019222"/>
    <n v="673074"/>
    <n v="0.25"/>
  </r>
  <r>
    <d v="2024-01-31T00:00:00"/>
    <x v="2"/>
    <s v="Cliente Final"/>
    <x v="1"/>
    <s v="Medio"/>
    <s v="Cafetera Eléctrica"/>
    <n v="3"/>
    <n v="956650"/>
    <n v="621822"/>
    <s v="San Lorenzo"/>
    <n v="2869950"/>
    <n v="1865466"/>
    <n v="1004484"/>
    <n v="0.35000052265718917"/>
  </r>
  <r>
    <d v="2024-04-02T00:00:00"/>
    <x v="0"/>
    <s v="Cliente Final"/>
    <x v="3"/>
    <s v="Básico"/>
    <s v="Heladera Básica 250L"/>
    <n v="1"/>
    <n v="2043216"/>
    <n v="1532412"/>
    <s v="Lambaré"/>
    <n v="2043216"/>
    <n v="1532412"/>
    <n v="510804"/>
    <n v="0.25"/>
  </r>
  <r>
    <d v="2024-04-11T00:00:00"/>
    <x v="2"/>
    <s v="Cliente Final"/>
    <x v="0"/>
    <s v="Básico"/>
    <s v="Lavarropas Semiautomático"/>
    <n v="1"/>
    <n v="2526403"/>
    <n v="1894802"/>
    <s v="Asunción"/>
    <n v="2526403"/>
    <n v="1894802"/>
    <n v="631601"/>
    <n v="0.25000009895491732"/>
  </r>
  <r>
    <d v="2024-02-19T00:00:00"/>
    <x v="0"/>
    <s v="Cliente Final"/>
    <x v="2"/>
    <s v="Premium"/>
    <s v="Smart TV 65&quot; 4K"/>
    <n v="1"/>
    <n v="2780512"/>
    <n v="2224409"/>
    <s v="Asunción"/>
    <n v="2780512"/>
    <n v="2224409"/>
    <n v="556103"/>
    <n v="0.20000021578759594"/>
  </r>
  <r>
    <d v="2024-02-06T00:00:00"/>
    <x v="1"/>
    <s v="Cliente Final"/>
    <x v="0"/>
    <s v="Básico"/>
    <s v="Lavarropas Semiautomático"/>
    <n v="1"/>
    <n v="2738717"/>
    <n v="2054037"/>
    <s v="Fernando de la Mora"/>
    <n v="2738717"/>
    <n v="2054037"/>
    <n v="684680"/>
    <n v="0.25000027385085788"/>
  </r>
  <r>
    <d v="2024-03-22T00:00:00"/>
    <x v="3"/>
    <s v="Cliente Final"/>
    <x v="3"/>
    <s v="Premium"/>
    <s v="Heladera Premium 450L"/>
    <n v="1"/>
    <n v="5640704"/>
    <n v="4512563"/>
    <s v="Asunción"/>
    <n v="5640704"/>
    <n v="4512563"/>
    <n v="1128141"/>
    <n v="0.20000003545656711"/>
  </r>
  <r>
    <d v="2024-01-23T00:00:00"/>
    <x v="3"/>
    <s v="Cliente Final"/>
    <x v="2"/>
    <s v="Premium"/>
    <s v="Smart TV 65&quot; 4K"/>
    <n v="1"/>
    <n v="2967265"/>
    <n v="2373812"/>
    <s v="Luque"/>
    <n v="2967265"/>
    <n v="2373812"/>
    <n v="593453"/>
    <n v="0.2"/>
  </r>
  <r>
    <d v="2024-01-12T00:00:00"/>
    <x v="0"/>
    <s v="Cliente Final"/>
    <x v="4"/>
    <s v="Medio"/>
    <s v="Split 12000 BTU"/>
    <n v="1"/>
    <n v="4953647"/>
    <n v="3715235"/>
    <s v="Asunción"/>
    <n v="4953647"/>
    <n v="3715235"/>
    <n v="1238412"/>
    <n v="0.25000005046786739"/>
  </r>
  <r>
    <d v="2024-03-04T00:00:00"/>
    <x v="3"/>
    <s v="Cliente Final"/>
    <x v="1"/>
    <s v="Premium"/>
    <s v="Procesadora Premium"/>
    <n v="1"/>
    <n v="1953585"/>
    <n v="1367509"/>
    <s v="Luque"/>
    <n v="1953585"/>
    <n v="1367509"/>
    <n v="586076"/>
    <n v="0.30000025593972107"/>
  </r>
  <r>
    <d v="2024-06-03T00:00:00"/>
    <x v="0"/>
    <s v="Cliente Final"/>
    <x v="0"/>
    <s v="Premium"/>
    <s v="Lavarropas Inverter"/>
    <n v="1"/>
    <n v="4862537"/>
    <n v="3890029"/>
    <s v="San Lorenzo"/>
    <n v="4862537"/>
    <n v="3890029"/>
    <n v="972508"/>
    <n v="0.20000012339237727"/>
  </r>
  <r>
    <d v="2024-06-26T00:00:00"/>
    <x v="2"/>
    <s v="Cliente Final"/>
    <x v="4"/>
    <s v="Básico"/>
    <s v="Aire Ventana"/>
    <n v="1"/>
    <n v="3094417"/>
    <n v="2227980"/>
    <s v="Asunción"/>
    <n v="3094417"/>
    <n v="2227980"/>
    <n v="866437"/>
    <n v="0.28000007755903616"/>
  </r>
  <r>
    <d v="2024-06-28T00:00:00"/>
    <x v="2"/>
    <s v="Cliente Final"/>
    <x v="0"/>
    <s v="Básico"/>
    <s v="Lavarropas Semiautomático"/>
    <n v="1"/>
    <n v="1705014"/>
    <n v="1278760"/>
    <s v="Fernando de la Mora"/>
    <n v="1705014"/>
    <n v="1278760"/>
    <n v="426254"/>
    <n v="0.25000029325272405"/>
  </r>
  <r>
    <d v="2024-05-07T00:00:00"/>
    <x v="2"/>
    <s v="Cliente Final"/>
    <x v="3"/>
    <s v="Premium"/>
    <s v="Heladera Premium 450L"/>
    <n v="1"/>
    <n v="7168956"/>
    <n v="5735164"/>
    <s v="Asunción"/>
    <n v="7168956"/>
    <n v="5735164"/>
    <n v="1433792"/>
    <n v="0.20000011159225975"/>
  </r>
  <r>
    <d v="2024-03-21T00:00:00"/>
    <x v="1"/>
    <s v="Cliente Final"/>
    <x v="2"/>
    <s v="Básico"/>
    <s v="TV LED 32&quot;"/>
    <n v="1"/>
    <n v="1061462"/>
    <n v="743023"/>
    <s v="Luque"/>
    <n v="1061462"/>
    <n v="743023"/>
    <n v="318439"/>
    <n v="0.30000037683873754"/>
  </r>
  <r>
    <d v="2024-06-22T00:00:00"/>
    <x v="1"/>
    <s v="Cliente Final"/>
    <x v="0"/>
    <s v="Premium"/>
    <s v="Lavarropas Inverter"/>
    <n v="1"/>
    <n v="4803718"/>
    <n v="3842974"/>
    <s v="San Lorenzo"/>
    <n v="4803718"/>
    <n v="3842974"/>
    <n v="960744"/>
    <n v="0.20000008326883467"/>
  </r>
  <r>
    <d v="2024-04-29T00:00:00"/>
    <x v="2"/>
    <s v="Cliente Final"/>
    <x v="4"/>
    <s v="Premium"/>
    <s v="Split Inverter"/>
    <n v="1"/>
    <n v="6285946"/>
    <n v="5028756"/>
    <s v="Lambaré"/>
    <n v="6285946"/>
    <n v="5028756"/>
    <n v="1257190"/>
    <n v="0.2000001272680357"/>
  </r>
  <r>
    <d v="2024-06-16T00:00:00"/>
    <x v="0"/>
    <s v="Cliente Final"/>
    <x v="4"/>
    <s v="Medio"/>
    <s v="Split 12000 BTU"/>
    <n v="1"/>
    <n v="5404534"/>
    <n v="4053400"/>
    <s v="Lambaré"/>
    <n v="5404534"/>
    <n v="4053400"/>
    <n v="1351134"/>
    <n v="0.25000009251491434"/>
  </r>
  <r>
    <d v="2024-01-08T00:00:00"/>
    <x v="1"/>
    <s v="Cliente Final"/>
    <x v="4"/>
    <s v="Medio"/>
    <s v="Split 12000 BTU"/>
    <n v="1"/>
    <n v="4832193"/>
    <n v="3624144"/>
    <s v="San Lorenzo"/>
    <n v="4832193"/>
    <n v="3624144"/>
    <n v="1208049"/>
    <n v="0.2500001552090324"/>
  </r>
  <r>
    <d v="2024-02-28T00:00:00"/>
    <x v="0"/>
    <s v="Cliente Final"/>
    <x v="3"/>
    <s v="Básico"/>
    <s v="Heladera Básica 250L"/>
    <n v="1"/>
    <n v="2195550"/>
    <n v="1646662"/>
    <s v="Fernando de la Mora"/>
    <n v="2195550"/>
    <n v="1646662"/>
    <n v="548888"/>
    <n v="0.25000022773336977"/>
  </r>
  <r>
    <d v="2024-06-06T00:00:00"/>
    <x v="2"/>
    <s v="Cliente Final"/>
    <x v="4"/>
    <s v="Premium"/>
    <s v="Split Inverter"/>
    <n v="1"/>
    <n v="6442822"/>
    <n v="5154257"/>
    <s v="Asunción"/>
    <n v="6442822"/>
    <n v="5154257"/>
    <n v="1288565"/>
    <n v="0.20000009312689376"/>
  </r>
  <r>
    <d v="2024-02-19T00:00:00"/>
    <x v="2"/>
    <s v="Cliente Final"/>
    <x v="4"/>
    <s v="Básico"/>
    <s v="Aire Ventana"/>
    <n v="1"/>
    <n v="2983897"/>
    <n v="2148405"/>
    <s v="Asunción"/>
    <n v="2983897"/>
    <n v="2148405"/>
    <n v="835492"/>
    <n v="0.28000028151105755"/>
  </r>
  <r>
    <d v="2024-03-23T00:00:00"/>
    <x v="2"/>
    <s v="Cliente Final"/>
    <x v="1"/>
    <s v="Medio"/>
    <s v="Cafetera Eléctrica"/>
    <n v="2"/>
    <n v="1012013"/>
    <n v="657808"/>
    <s v="Asunción"/>
    <n v="2024026"/>
    <n v="1315616"/>
    <n v="708410"/>
    <n v="0.35000044465831959"/>
  </r>
  <r>
    <d v="2024-03-12T00:00:00"/>
    <x v="2"/>
    <s v="Cliente Final"/>
    <x v="3"/>
    <s v="Medio"/>
    <s v="Heladera Inverter 300L"/>
    <n v="1"/>
    <n v="3766086"/>
    <n v="2937547"/>
    <s v="Fernando de la Mora"/>
    <n v="3766086"/>
    <n v="2937547"/>
    <n v="828539"/>
    <n v="0.22000002124221274"/>
  </r>
  <r>
    <d v="2024-06-25T00:00:00"/>
    <x v="2"/>
    <s v="Cliente Final"/>
    <x v="1"/>
    <s v="Medio"/>
    <s v="Cafetera Eléctrica"/>
    <n v="3"/>
    <n v="690125"/>
    <n v="448581"/>
    <s v="Luque"/>
    <n v="2070375"/>
    <n v="1345743"/>
    <n v="724632"/>
    <n v="0.35000036225321501"/>
  </r>
  <r>
    <d v="2024-06-23T00:00:00"/>
    <x v="0"/>
    <s v="Cliente Final"/>
    <x v="3"/>
    <s v="Medio"/>
    <s v="Heladera Inverter 300L"/>
    <n v="1"/>
    <n v="4098999"/>
    <n v="3197219"/>
    <s v="Luque"/>
    <n v="4098999"/>
    <n v="3197219"/>
    <n v="901780"/>
    <n v="0.22000005367164033"/>
  </r>
  <r>
    <d v="2024-05-27T00:00:00"/>
    <x v="0"/>
    <s v="Cliente Final"/>
    <x v="1"/>
    <s v="Medio"/>
    <s v="Cafetera Eléctrica"/>
    <n v="2"/>
    <n v="767670"/>
    <n v="498985"/>
    <s v="Lambaré"/>
    <n v="1535340"/>
    <n v="997970"/>
    <n v="537370"/>
    <n v="0.35000065132153141"/>
  </r>
  <r>
    <d v="2024-06-03T00:00:00"/>
    <x v="0"/>
    <s v="Cliente Final"/>
    <x v="3"/>
    <s v="Medio"/>
    <s v="Heladera Inverter 300L"/>
    <n v="1"/>
    <n v="3970911"/>
    <n v="3097310"/>
    <s v="San Lorenzo"/>
    <n v="3970911"/>
    <n v="3097310"/>
    <n v="873601"/>
    <n v="0.22000014606220084"/>
  </r>
  <r>
    <d v="2024-02-10T00:00:00"/>
    <x v="1"/>
    <s v="Cliente Final"/>
    <x v="3"/>
    <s v="Básico"/>
    <s v="Heladera Básica 250L"/>
    <n v="1"/>
    <n v="2493745"/>
    <n v="1870308"/>
    <s v="Asunción"/>
    <n v="2493745"/>
    <n v="1870308"/>
    <n v="623437"/>
    <n v="0.2500003007524827"/>
  </r>
  <r>
    <d v="2024-02-21T00:00:00"/>
    <x v="3"/>
    <s v="Cliente Final"/>
    <x v="3"/>
    <s v="Premium"/>
    <s v="Heladera Premium 450L"/>
    <n v="1"/>
    <n v="5075738"/>
    <n v="4060590"/>
    <s v="San Lorenzo"/>
    <n v="5075738"/>
    <n v="4060590"/>
    <n v="1015148"/>
    <n v="0.20000007880627407"/>
  </r>
  <r>
    <d v="2024-03-02T00:00:00"/>
    <x v="1"/>
    <s v="Cliente Final"/>
    <x v="3"/>
    <s v="Medio"/>
    <s v="Heladera Inverter 300L"/>
    <n v="1"/>
    <n v="3321529"/>
    <n v="2590792"/>
    <s v="Lambaré"/>
    <n v="3321529"/>
    <n v="2590792"/>
    <n v="730737"/>
    <n v="0.22000018666102267"/>
  </r>
  <r>
    <d v="2024-06-04T00:00:00"/>
    <x v="2"/>
    <s v="Cliente Final"/>
    <x v="2"/>
    <s v="Básico"/>
    <s v="TV LED 32&quot;"/>
    <n v="1"/>
    <n v="1147573"/>
    <n v="803301"/>
    <s v="Luque"/>
    <n v="1147573"/>
    <n v="803301"/>
    <n v="344272"/>
    <n v="0.30000008714042592"/>
  </r>
  <r>
    <d v="2024-06-27T00:00:00"/>
    <x v="0"/>
    <s v="Cliente Final"/>
    <x v="3"/>
    <s v="Medio"/>
    <s v="Heladera Inverter 300L"/>
    <n v="1"/>
    <n v="4012304"/>
    <n v="3129597"/>
    <s v="Lambaré"/>
    <n v="4012304"/>
    <n v="3129597"/>
    <n v="882707"/>
    <n v="0.22000002990800299"/>
  </r>
  <r>
    <d v="2024-05-29T00:00:00"/>
    <x v="3"/>
    <s v="Cliente Final"/>
    <x v="1"/>
    <s v="Premium"/>
    <s v="Procesadora Premium"/>
    <n v="2"/>
    <n v="1293828"/>
    <n v="905679"/>
    <s v="Fernando de la Mora"/>
    <n v="2587656"/>
    <n v="1811358"/>
    <n v="776298"/>
    <n v="0.3000004637401571"/>
  </r>
  <r>
    <d v="2024-04-05T00:00:00"/>
    <x v="0"/>
    <s v="Cliente Final"/>
    <x v="4"/>
    <s v="Básico"/>
    <s v="Aire Ventana"/>
    <n v="1"/>
    <n v="2113198"/>
    <n v="1521502"/>
    <s v="Luque"/>
    <n v="2113198"/>
    <n v="1521502"/>
    <n v="591696"/>
    <n v="0.28000026500119723"/>
  </r>
  <r>
    <d v="2024-03-27T00:00:00"/>
    <x v="3"/>
    <s v="Cliente Final"/>
    <x v="3"/>
    <s v="Premium"/>
    <s v="Heladera Premium 450L"/>
    <n v="1"/>
    <n v="7699674"/>
    <n v="6159739"/>
    <s v="Luque"/>
    <n v="7699674"/>
    <n v="6159739"/>
    <n v="1539935"/>
    <n v="0.2000000259751257"/>
  </r>
  <r>
    <d v="2024-02-21T00:00:00"/>
    <x v="1"/>
    <s v="Cliente Final"/>
    <x v="3"/>
    <s v="Medio"/>
    <s v="Heladera Inverter 300L"/>
    <n v="1"/>
    <n v="3599210"/>
    <n v="2807383"/>
    <s v="San Lorenzo"/>
    <n v="3599210"/>
    <n v="2807383"/>
    <n v="791827"/>
    <n v="0.22000022227099836"/>
  </r>
  <r>
    <d v="2024-06-21T00:00:00"/>
    <x v="0"/>
    <s v="Cliente Final"/>
    <x v="3"/>
    <s v="Medio"/>
    <s v="Heladera Inverter 300L"/>
    <n v="1"/>
    <n v="3847319"/>
    <n v="3000908"/>
    <s v="San Lorenzo"/>
    <n v="3847319"/>
    <n v="3000908"/>
    <n v="846411"/>
    <n v="0.22000021313543275"/>
  </r>
  <r>
    <d v="2024-05-25T00:00:00"/>
    <x v="0"/>
    <s v="Cliente Final"/>
    <x v="2"/>
    <s v="Básico"/>
    <s v="TV LED 32&quot;"/>
    <n v="1"/>
    <n v="1000796"/>
    <n v="700557"/>
    <s v="Asunción"/>
    <n v="1000796"/>
    <n v="700557"/>
    <n v="300239"/>
    <n v="0.30000019984092663"/>
  </r>
  <r>
    <d v="2024-06-08T00:00:00"/>
    <x v="3"/>
    <s v="Cliente Final"/>
    <x v="4"/>
    <s v="Básico"/>
    <s v="Aire Ventana"/>
    <n v="1"/>
    <n v="3162241"/>
    <n v="2276813"/>
    <s v="San Lorenzo"/>
    <n v="3162241"/>
    <n v="2276813"/>
    <n v="885428"/>
    <n v="0.2800001644403447"/>
  </r>
  <r>
    <d v="2024-03-11T00:00:00"/>
    <x v="1"/>
    <s v="Cliente Final"/>
    <x v="1"/>
    <s v="Medio"/>
    <s v="Cafetera Eléctrica"/>
    <n v="1"/>
    <n v="724001"/>
    <n v="470600"/>
    <s v="Fernando de la Mora"/>
    <n v="724001"/>
    <n v="470600"/>
    <n v="253401"/>
    <n v="0.35000089778881521"/>
  </r>
  <r>
    <d v="2024-06-09T00:00:00"/>
    <x v="3"/>
    <s v="Cliente Final"/>
    <x v="3"/>
    <s v="Premium"/>
    <s v="Heladera Premium 450L"/>
    <n v="1"/>
    <n v="6704772"/>
    <n v="5363817"/>
    <s v="Luque"/>
    <n v="6704772"/>
    <n v="5363817"/>
    <n v="1340955"/>
    <n v="0.20000008948850162"/>
  </r>
  <r>
    <d v="2024-02-07T00:00:00"/>
    <x v="2"/>
    <s v="Cliente Final"/>
    <x v="3"/>
    <s v="Básico"/>
    <s v="Heladera Básica 250L"/>
    <n v="1"/>
    <n v="2123697"/>
    <n v="1592772"/>
    <s v="Lambaré"/>
    <n v="2123697"/>
    <n v="1592772"/>
    <n v="530925"/>
    <n v="0.25000035315772445"/>
  </r>
  <r>
    <d v="2024-05-12T00:00:00"/>
    <x v="2"/>
    <s v="Cliente Final"/>
    <x v="4"/>
    <s v="Premium"/>
    <s v="Split Inverter"/>
    <n v="1"/>
    <n v="7137522"/>
    <n v="5710017"/>
    <s v="Lambaré"/>
    <n v="7137522"/>
    <n v="5710017"/>
    <n v="1427505"/>
    <n v="0.20000008406278819"/>
  </r>
  <r>
    <d v="2024-02-16T00:00:00"/>
    <x v="0"/>
    <s v="Cliente Final"/>
    <x v="0"/>
    <s v="Básico"/>
    <s v="Lavarropas Semiautomático"/>
    <n v="1"/>
    <n v="2106792"/>
    <n v="1580094"/>
    <s v="San Lorenzo"/>
    <n v="2106792"/>
    <n v="1580094"/>
    <n v="526698"/>
    <n v="0.25"/>
  </r>
  <r>
    <d v="2024-01-07T00:00:00"/>
    <x v="1"/>
    <s v="Cliente Final"/>
    <x v="0"/>
    <s v="Medio"/>
    <s v="Lavarropas Automático"/>
    <n v="1"/>
    <n v="3410873"/>
    <n v="2660480"/>
    <s v="Luque"/>
    <n v="3410873"/>
    <n v="2660480"/>
    <n v="750393"/>
    <n v="0.22000027558926996"/>
  </r>
  <r>
    <d v="2024-03-02T00:00:00"/>
    <x v="1"/>
    <s v="Cliente Final"/>
    <x v="1"/>
    <s v="Medio"/>
    <s v="Cafetera Eléctrica"/>
    <n v="3"/>
    <n v="1100482"/>
    <n v="715313"/>
    <s v="Luque"/>
    <n v="3301446"/>
    <n v="2145939"/>
    <n v="1155507"/>
    <n v="0.35000027260782096"/>
  </r>
  <r>
    <d v="2024-06-30T00:00:00"/>
    <x v="2"/>
    <s v="Cliente Final"/>
    <x v="2"/>
    <s v="Básico"/>
    <s v="TV LED 32&quot;"/>
    <n v="1"/>
    <n v="1125151"/>
    <n v="787605"/>
    <s v="Fernando de la Mora"/>
    <n v="1125151"/>
    <n v="787605"/>
    <n v="337546"/>
    <n v="0.30000062213871737"/>
  </r>
  <r>
    <d v="2024-03-24T00:00:00"/>
    <x v="3"/>
    <s v="Cliente Final"/>
    <x v="0"/>
    <s v="Medio"/>
    <s v="Lavarropas Automático"/>
    <n v="1"/>
    <n v="3113568"/>
    <n v="2428583"/>
    <s v="Fernando de la Mora"/>
    <n v="3113568"/>
    <n v="2428583"/>
    <n v="684985"/>
    <n v="0.22000001284699741"/>
  </r>
  <r>
    <d v="2024-02-23T00:00:00"/>
    <x v="1"/>
    <s v="Cliente Final"/>
    <x v="1"/>
    <s v="Básico"/>
    <s v="Licuadora Básica"/>
    <n v="3"/>
    <n v="439234"/>
    <n v="263540"/>
    <s v="Asunción"/>
    <n v="1317702"/>
    <n v="790620"/>
    <n v="527082"/>
    <n v="0.40000091067631377"/>
  </r>
  <r>
    <d v="2024-05-26T00:00:00"/>
    <x v="2"/>
    <s v="Cliente Final"/>
    <x v="0"/>
    <s v="Básico"/>
    <s v="Lavarropas Semiautomático"/>
    <n v="1"/>
    <n v="2723824"/>
    <n v="2042868"/>
    <s v="Fernando de la Mora"/>
    <n v="2723824"/>
    <n v="2042868"/>
    <n v="680956"/>
    <n v="0.25"/>
  </r>
  <r>
    <d v="2024-06-06T00:00:00"/>
    <x v="1"/>
    <s v="Cliente Final"/>
    <x v="4"/>
    <s v="Básico"/>
    <s v="Aire Ventana"/>
    <n v="1"/>
    <n v="2803387"/>
    <n v="2018438"/>
    <s v="Fernando de la Mora"/>
    <n v="2803387"/>
    <n v="2018438"/>
    <n v="784949"/>
    <n v="0.28000022829527282"/>
  </r>
  <r>
    <d v="2024-01-15T00:00:00"/>
    <x v="0"/>
    <s v="Cliente Final"/>
    <x v="2"/>
    <s v="Básico"/>
    <s v="TV LED 32&quot;"/>
    <n v="1"/>
    <n v="886320"/>
    <n v="620424"/>
    <s v="Luque"/>
    <n v="886320"/>
    <n v="620424"/>
    <n v="265896"/>
    <n v="0.3"/>
  </r>
  <r>
    <d v="2024-04-29T00:00:00"/>
    <x v="3"/>
    <s v="Cliente Final"/>
    <x v="1"/>
    <s v="Básico"/>
    <s v="Licuadora Básica"/>
    <n v="3"/>
    <n v="498791"/>
    <n v="299274"/>
    <s v="Fernando de la Mora"/>
    <n v="1496373"/>
    <n v="897822"/>
    <n v="598551"/>
    <n v="0.40000120290863306"/>
  </r>
  <r>
    <d v="2024-01-09T00:00:00"/>
    <x v="0"/>
    <s v="Cliente Final"/>
    <x v="4"/>
    <s v="Medio"/>
    <s v="Split 12000 BTU"/>
    <n v="1"/>
    <n v="5941327"/>
    <n v="4455995"/>
    <s v="Fernando de la Mora"/>
    <n v="5941327"/>
    <n v="4455995"/>
    <n v="1485332"/>
    <n v="0.2500000420781418"/>
  </r>
  <r>
    <d v="2024-04-19T00:00:00"/>
    <x v="1"/>
    <s v="Cliente Final"/>
    <x v="2"/>
    <s v="Básico"/>
    <s v="TV LED 32&quot;"/>
    <n v="1"/>
    <n v="839668"/>
    <n v="587767"/>
    <s v="San Lorenzo"/>
    <n v="839668"/>
    <n v="587767"/>
    <n v="251901"/>
    <n v="0.30000071456813882"/>
  </r>
  <r>
    <d v="2024-03-23T00:00:00"/>
    <x v="3"/>
    <s v="Cliente Final"/>
    <x v="0"/>
    <s v="Básico"/>
    <s v="Lavarropas Semiautomático"/>
    <n v="1"/>
    <n v="2344557"/>
    <n v="1758417"/>
    <s v="Lambaré"/>
    <n v="2344557"/>
    <n v="1758417"/>
    <n v="586140"/>
    <n v="0.25000031988985555"/>
  </r>
  <r>
    <d v="2024-01-17T00:00:00"/>
    <x v="2"/>
    <s v="Cliente Final"/>
    <x v="3"/>
    <s v="Premium"/>
    <s v="Heladera Premium 450L"/>
    <n v="1"/>
    <n v="5107173"/>
    <n v="4085738"/>
    <s v="Luque"/>
    <n v="5107173"/>
    <n v="4085738"/>
    <n v="1021435"/>
    <n v="0.20000007832121605"/>
  </r>
  <r>
    <d v="2024-03-10T00:00:00"/>
    <x v="0"/>
    <s v="Cliente Final"/>
    <x v="4"/>
    <s v="Básico"/>
    <s v="Aire Ventana"/>
    <n v="1"/>
    <n v="2403964"/>
    <n v="1730854"/>
    <s v="San Lorenzo"/>
    <n v="2403964"/>
    <n v="1730854"/>
    <n v="673110"/>
    <n v="0.28000003327836859"/>
  </r>
  <r>
    <d v="2024-01-25T00:00:00"/>
    <x v="3"/>
    <s v="Cliente Final"/>
    <x v="4"/>
    <s v="Medio"/>
    <s v="Split 12000 BTU"/>
    <n v="1"/>
    <n v="4820260"/>
    <n v="3615195"/>
    <s v="Lambaré"/>
    <n v="4820260"/>
    <n v="3615195"/>
    <n v="1205065"/>
    <n v="0.25"/>
  </r>
  <r>
    <d v="2024-02-01T00:00:00"/>
    <x v="0"/>
    <s v="Cliente Final"/>
    <x v="0"/>
    <s v="Medio"/>
    <s v="Lavarropas Automático"/>
    <n v="1"/>
    <n v="3882780"/>
    <n v="3028568"/>
    <s v="Fernando de la Mora"/>
    <n v="3882780"/>
    <n v="3028568"/>
    <n v="854212"/>
    <n v="0.22000010301897094"/>
  </r>
  <r>
    <d v="2024-04-11T00:00:00"/>
    <x v="2"/>
    <s v="Cliente Final"/>
    <x v="0"/>
    <s v="Básico"/>
    <s v="Lavarropas Semiautomático"/>
    <n v="1"/>
    <n v="2084011"/>
    <n v="1563008"/>
    <s v="Fernando de la Mora"/>
    <n v="2084011"/>
    <n v="1563008"/>
    <n v="521003"/>
    <n v="0.25000011996097909"/>
  </r>
  <r>
    <d v="2024-06-23T00:00:00"/>
    <x v="0"/>
    <s v="Cliente Final"/>
    <x v="1"/>
    <s v="Premium"/>
    <s v="Procesadora Premium"/>
    <n v="3"/>
    <n v="1897413"/>
    <n v="1328189"/>
    <s v="Lambaré"/>
    <n v="5692239"/>
    <n v="3984567"/>
    <n v="1707672"/>
    <n v="0.30000005270333868"/>
  </r>
  <r>
    <d v="2024-01-18T00:00:00"/>
    <x v="2"/>
    <s v="Cliente Final"/>
    <x v="1"/>
    <s v="Básico"/>
    <s v="Licuadora Básica"/>
    <n v="2"/>
    <n v="258336"/>
    <n v="155001"/>
    <s v="Lambaré"/>
    <n v="516672"/>
    <n v="310002"/>
    <n v="206670"/>
    <n v="0.4000023225566704"/>
  </r>
  <r>
    <d v="2024-01-21T00:00:00"/>
    <x v="1"/>
    <s v="Cliente Final"/>
    <x v="0"/>
    <s v="Básico"/>
    <s v="Lavarropas Semiautomático"/>
    <n v="1"/>
    <n v="2284048"/>
    <n v="1713036"/>
    <s v="Luque"/>
    <n v="2284048"/>
    <n v="1713036"/>
    <n v="571012"/>
    <n v="0.25"/>
  </r>
  <r>
    <d v="2024-04-06T00:00:00"/>
    <x v="3"/>
    <s v="Cliente Final"/>
    <x v="1"/>
    <s v="Básico"/>
    <s v="Licuadora Básica"/>
    <n v="1"/>
    <n v="411638"/>
    <n v="246982"/>
    <s v="Asunción"/>
    <n v="411638"/>
    <n v="246982"/>
    <n v="164656"/>
    <n v="0.40000194345517176"/>
  </r>
  <r>
    <d v="2024-02-01T00:00:00"/>
    <x v="2"/>
    <s v="Cliente Final"/>
    <x v="2"/>
    <s v="Medio"/>
    <s v="Smart TV 50&quot;"/>
    <n v="1"/>
    <n v="1687024"/>
    <n v="1265268"/>
    <s v="Asunción"/>
    <n v="1687024"/>
    <n v="1265268"/>
    <n v="421756"/>
    <n v="0.25"/>
  </r>
  <r>
    <d v="2024-01-09T00:00:00"/>
    <x v="0"/>
    <s v="Cliente Final"/>
    <x v="1"/>
    <s v="Básico"/>
    <s v="Licuadora Básica"/>
    <n v="2"/>
    <n v="331850"/>
    <n v="199110"/>
    <s v="Luque"/>
    <n v="663700"/>
    <n v="398220"/>
    <n v="265480"/>
    <n v="0.4"/>
  </r>
  <r>
    <d v="2024-05-12T00:00:00"/>
    <x v="3"/>
    <s v="Cliente Final"/>
    <x v="4"/>
    <s v="Medio"/>
    <s v="Split 12000 BTU"/>
    <n v="1"/>
    <n v="4523748"/>
    <n v="3392811"/>
    <s v="San Lorenzo"/>
    <n v="4523748"/>
    <n v="3392811"/>
    <n v="1130937"/>
    <n v="0.25"/>
  </r>
  <r>
    <d v="2024-06-18T00:00:00"/>
    <x v="3"/>
    <s v="Cliente Final"/>
    <x v="4"/>
    <s v="Medio"/>
    <s v="Split 12000 BTU"/>
    <n v="1"/>
    <n v="5132694"/>
    <n v="3849520"/>
    <s v="Asunción"/>
    <n v="5132694"/>
    <n v="3849520"/>
    <n v="1283174"/>
    <n v="0.25000009741472995"/>
  </r>
  <r>
    <d v="2024-06-24T00:00:00"/>
    <x v="1"/>
    <s v="Cliente Final"/>
    <x v="1"/>
    <s v="Básico"/>
    <s v="Licuadora Básica"/>
    <n v="1"/>
    <n v="270469"/>
    <n v="162281"/>
    <s v="Fernando de la Mora"/>
    <n v="270469"/>
    <n v="162281"/>
    <n v="108188"/>
    <n v="0.40000147891255561"/>
  </r>
  <r>
    <d v="2024-06-28T00:00:00"/>
    <x v="2"/>
    <s v="Cliente Final"/>
    <x v="1"/>
    <s v="Básico"/>
    <s v="Licuadora Básica"/>
    <n v="3"/>
    <n v="194030"/>
    <n v="116418"/>
    <s v="Luque"/>
    <n v="582090"/>
    <n v="349254"/>
    <n v="232836"/>
    <n v="0.4"/>
  </r>
  <r>
    <d v="2024-04-25T00:00:00"/>
    <x v="2"/>
    <s v="Cliente Final"/>
    <x v="0"/>
    <s v="Básico"/>
    <s v="Lavarropas Semiautomático"/>
    <n v="1"/>
    <n v="2267551"/>
    <n v="1700663"/>
    <s v="Fernando de la Mora"/>
    <n v="2267551"/>
    <n v="1700663"/>
    <n v="566888"/>
    <n v="0.25000011025110352"/>
  </r>
  <r>
    <d v="2024-04-23T00:00:00"/>
    <x v="2"/>
    <s v="Cliente Final"/>
    <x v="1"/>
    <s v="Básico"/>
    <s v="Licuadora Básica"/>
    <n v="1"/>
    <n v="304019"/>
    <n v="182411"/>
    <s v="Asunción"/>
    <n v="304019"/>
    <n v="182411"/>
    <n v="121608"/>
    <n v="0.40000131570724196"/>
  </r>
  <r>
    <d v="2024-04-15T00:00:00"/>
    <x v="1"/>
    <s v="Cliente Final"/>
    <x v="1"/>
    <s v="Medio"/>
    <s v="Cafetera Eléctrica"/>
    <n v="3"/>
    <n v="945267"/>
    <n v="614423"/>
    <s v="Lambaré"/>
    <n v="2835801"/>
    <n v="1843269"/>
    <n v="992532"/>
    <n v="0.35000058184618738"/>
  </r>
  <r>
    <d v="2024-05-17T00:00:00"/>
    <x v="0"/>
    <s v="Cliente Final"/>
    <x v="1"/>
    <s v="Medio"/>
    <s v="Cafetera Eléctrica"/>
    <n v="2"/>
    <n v="952044"/>
    <n v="618828"/>
    <s v="Luque"/>
    <n v="1904088"/>
    <n v="1237656"/>
    <n v="666432"/>
    <n v="0.3500006302229729"/>
  </r>
  <r>
    <d v="2024-03-09T00:00:00"/>
    <x v="1"/>
    <s v="Cliente Final"/>
    <x v="1"/>
    <s v="Premium"/>
    <s v="Procesadora Premium"/>
    <n v="1"/>
    <n v="1238390"/>
    <n v="866873"/>
    <s v="San Lorenzo"/>
    <n v="1238390"/>
    <n v="866873"/>
    <n v="371517"/>
    <n v="0.3"/>
  </r>
  <r>
    <d v="2024-06-22T00:00:00"/>
    <x v="2"/>
    <s v="Cliente Final"/>
    <x v="3"/>
    <s v="Premium"/>
    <s v="Heladera Premium 450L"/>
    <n v="1"/>
    <n v="9089290"/>
    <n v="7271432"/>
    <s v="Luque"/>
    <n v="9089290"/>
    <n v="7271432"/>
    <n v="1817858"/>
    <n v="0.2"/>
  </r>
  <r>
    <d v="2024-02-13T00:00:00"/>
    <x v="3"/>
    <s v="Cliente Final"/>
    <x v="1"/>
    <s v="Premium"/>
    <s v="Procesadora Premium"/>
    <n v="1"/>
    <n v="1453400"/>
    <n v="1017379"/>
    <s v="Asunción"/>
    <n v="1453400"/>
    <n v="1017379"/>
    <n v="436021"/>
    <n v="0.30000068804183294"/>
  </r>
  <r>
    <d v="2024-03-24T00:00:00"/>
    <x v="2"/>
    <s v="Cliente Final"/>
    <x v="0"/>
    <s v="Premium"/>
    <s v="Lavarropas Inverter"/>
    <n v="1"/>
    <n v="4601847"/>
    <n v="3681477"/>
    <s v="Asunción"/>
    <n v="4601847"/>
    <n v="3681477"/>
    <n v="920370"/>
    <n v="0.20000013038243122"/>
  </r>
  <r>
    <d v="2024-06-13T00:00:00"/>
    <x v="1"/>
    <s v="Cliente Final"/>
    <x v="0"/>
    <s v="Medio"/>
    <s v="Lavarropas Automático"/>
    <n v="1"/>
    <n v="3754142"/>
    <n v="2928230"/>
    <s v="Luque"/>
    <n v="3754142"/>
    <n v="2928230"/>
    <n v="825912"/>
    <n v="0.22000020244306157"/>
  </r>
  <r>
    <d v="2024-02-18T00:00:00"/>
    <x v="2"/>
    <s v="Cliente Final"/>
    <x v="1"/>
    <s v="Premium"/>
    <s v="Procesadora Premium"/>
    <n v="3"/>
    <n v="1472913"/>
    <n v="1031039"/>
    <s v="Fernando de la Mora"/>
    <n v="4418739"/>
    <n v="3093117"/>
    <n v="1325622"/>
    <n v="0.30000006789267253"/>
  </r>
  <r>
    <d v="2024-05-30T00:00:00"/>
    <x v="0"/>
    <s v="Cliente Final"/>
    <x v="0"/>
    <s v="Medio"/>
    <s v="Lavarropas Automático"/>
    <n v="1"/>
    <n v="3840493"/>
    <n v="2995584"/>
    <s v="Asunción"/>
    <n v="3840493"/>
    <n v="2995584"/>
    <n v="844909"/>
    <n v="0.22000014060694811"/>
  </r>
  <r>
    <d v="2024-03-19T00:00:00"/>
    <x v="2"/>
    <s v="Cliente Final"/>
    <x v="2"/>
    <s v="Premium"/>
    <s v="Smart TV 65&quot; 4K"/>
    <n v="1"/>
    <n v="3080831"/>
    <n v="2464664"/>
    <s v="Fernando de la Mora"/>
    <n v="3080831"/>
    <n v="2464664"/>
    <n v="616167"/>
    <n v="0.20000025967019938"/>
  </r>
  <r>
    <d v="2024-03-26T00:00:00"/>
    <x v="1"/>
    <s v="Cliente Final"/>
    <x v="0"/>
    <s v="Premium"/>
    <s v="Lavarropas Inverter"/>
    <n v="1"/>
    <n v="4941906"/>
    <n v="3953524"/>
    <s v="Fernando de la Mora"/>
    <n v="4941906"/>
    <n v="3953524"/>
    <n v="988382"/>
    <n v="0.20000016188086137"/>
  </r>
  <r>
    <d v="2024-04-18T00:00:00"/>
    <x v="3"/>
    <s v="Cliente Final"/>
    <x v="0"/>
    <s v="Básico"/>
    <s v="Lavarropas Semiautomático"/>
    <n v="1"/>
    <n v="1739387"/>
    <n v="1304540"/>
    <s v="Fernando de la Mora"/>
    <n v="1739387"/>
    <n v="1304540"/>
    <n v="434847"/>
    <n v="0.25000014372879642"/>
  </r>
  <r>
    <d v="2024-03-23T00:00:00"/>
    <x v="0"/>
    <s v="Cliente Final"/>
    <x v="4"/>
    <s v="Básico"/>
    <s v="Aire Ventana"/>
    <n v="1"/>
    <n v="3274134"/>
    <n v="2357376"/>
    <s v="Fernando de la Mora"/>
    <n v="3274134"/>
    <n v="2357376"/>
    <n v="916758"/>
    <n v="0.28000014660365152"/>
  </r>
  <r>
    <d v="2024-03-06T00:00:00"/>
    <x v="0"/>
    <s v="Cliente Final"/>
    <x v="4"/>
    <s v="Medio"/>
    <s v="Split 12000 BTU"/>
    <n v="1"/>
    <n v="3902310"/>
    <n v="2926732"/>
    <s v="Luque"/>
    <n v="3902310"/>
    <n v="2926732"/>
    <n v="975578"/>
    <n v="0.25000012812923628"/>
  </r>
  <r>
    <d v="2024-02-02T00:00:00"/>
    <x v="3"/>
    <s v="Cliente Final"/>
    <x v="0"/>
    <s v="Básico"/>
    <s v="Lavarropas Semiautomático"/>
    <n v="1"/>
    <n v="2018990"/>
    <n v="1514242"/>
    <s v="Fernando de la Mora"/>
    <n v="2018990"/>
    <n v="1514242"/>
    <n v="504748"/>
    <n v="0.25000024764857676"/>
  </r>
  <r>
    <d v="2024-03-24T00:00:00"/>
    <x v="2"/>
    <s v="Cliente Final"/>
    <x v="0"/>
    <s v="Básico"/>
    <s v="Lavarropas Semiautomático"/>
    <n v="1"/>
    <n v="2081532"/>
    <n v="1561149"/>
    <s v="San Lorenzo"/>
    <n v="2081532"/>
    <n v="1561149"/>
    <n v="520383"/>
    <n v="0.25"/>
  </r>
  <r>
    <d v="2024-01-10T00:00:00"/>
    <x v="1"/>
    <s v="Cliente Final"/>
    <x v="3"/>
    <s v="Básico"/>
    <s v="Heladera Básica 250L"/>
    <n v="1"/>
    <n v="2449565"/>
    <n v="1837173"/>
    <s v="Luque"/>
    <n v="2449565"/>
    <n v="1837173"/>
    <n v="612392"/>
    <n v="0.25000030617681096"/>
  </r>
  <r>
    <d v="2024-04-04T00:00:00"/>
    <x v="2"/>
    <s v="Cliente Final"/>
    <x v="0"/>
    <s v="Básico"/>
    <s v="Lavarropas Semiautomático"/>
    <n v="1"/>
    <n v="1804416"/>
    <n v="1353312"/>
    <s v="Asunción"/>
    <n v="1804416"/>
    <n v="1353312"/>
    <n v="451104"/>
    <n v="0.25"/>
  </r>
  <r>
    <d v="2024-04-01T00:00:00"/>
    <x v="0"/>
    <s v="Cliente Final"/>
    <x v="2"/>
    <s v="Básico"/>
    <s v="TV LED 32&quot;"/>
    <n v="1"/>
    <n v="812045"/>
    <n v="568431"/>
    <s v="San Lorenzo"/>
    <n v="812045"/>
    <n v="568431"/>
    <n v="243614"/>
    <n v="0.30000061572942388"/>
  </r>
  <r>
    <d v="2024-03-31T00:00:00"/>
    <x v="2"/>
    <s v="Cliente Final"/>
    <x v="2"/>
    <s v="Premium"/>
    <s v="Smart TV 65&quot; 4K"/>
    <n v="1"/>
    <n v="3457546"/>
    <n v="2766036"/>
    <s v="Asunción"/>
    <n v="3457546"/>
    <n v="2766036"/>
    <n v="691510"/>
    <n v="0.20000023137797732"/>
  </r>
  <r>
    <d v="2024-02-15T00:00:00"/>
    <x v="2"/>
    <s v="Cliente Final"/>
    <x v="4"/>
    <s v="Premium"/>
    <s v="Split Inverter"/>
    <n v="1"/>
    <n v="8001473"/>
    <n v="6401178"/>
    <s v="Asunción"/>
    <n v="8001473"/>
    <n v="6401178"/>
    <n v="1600295"/>
    <n v="0.20000004999079543"/>
  </r>
  <r>
    <d v="2024-02-14T00:00:00"/>
    <x v="3"/>
    <s v="Cliente Final"/>
    <x v="2"/>
    <s v="Medio"/>
    <s v="Smart TV 50&quot;"/>
    <n v="1"/>
    <n v="1436801"/>
    <n v="1077600"/>
    <s v="Luque"/>
    <n v="1436801"/>
    <n v="1077600"/>
    <n v="359201"/>
    <n v="0.25000052199295519"/>
  </r>
  <r>
    <d v="2024-06-07T00:00:00"/>
    <x v="0"/>
    <s v="Cliente Final"/>
    <x v="4"/>
    <s v="Básico"/>
    <s v="Aire Ventana"/>
    <n v="1"/>
    <n v="2145643"/>
    <n v="1544862"/>
    <s v="Fernando de la Mora"/>
    <n v="2145643"/>
    <n v="1544862"/>
    <n v="600781"/>
    <n v="0.28000044741832636"/>
  </r>
  <r>
    <d v="2024-03-16T00:00:00"/>
    <x v="1"/>
    <s v="Cliente Final"/>
    <x v="2"/>
    <s v="Premium"/>
    <s v="Smart TV 65&quot; 4K"/>
    <n v="1"/>
    <n v="3378754"/>
    <n v="2703003"/>
    <s v="Fernando de la Mora"/>
    <n v="3378754"/>
    <n v="2703003"/>
    <n v="675751"/>
    <n v="0.20000005919341865"/>
  </r>
  <r>
    <d v="2024-02-27T00:00:00"/>
    <x v="2"/>
    <s v="Cliente Final"/>
    <x v="3"/>
    <s v="Premium"/>
    <s v="Heladera Premium 450L"/>
    <n v="1"/>
    <n v="7990252"/>
    <n v="6392201"/>
    <s v="San Lorenzo"/>
    <n v="7990252"/>
    <n v="6392201"/>
    <n v="1598051"/>
    <n v="0.200000075091499"/>
  </r>
  <r>
    <d v="2024-06-21T00:00:00"/>
    <x v="0"/>
    <s v="Cliente Final"/>
    <x v="3"/>
    <s v="Básico"/>
    <s v="Heladera Básica 250L"/>
    <n v="1"/>
    <n v="2177586"/>
    <n v="1633189"/>
    <s v="Luque"/>
    <n v="2177586"/>
    <n v="1633189"/>
    <n v="544397"/>
    <n v="0.25000022961205665"/>
  </r>
  <r>
    <d v="2024-01-11T00:00:00"/>
    <x v="2"/>
    <s v="Cliente Final"/>
    <x v="4"/>
    <s v="Básico"/>
    <s v="Aire Ventana"/>
    <n v="1"/>
    <n v="2680100"/>
    <n v="1929672"/>
    <s v="Luque"/>
    <n v="2680100"/>
    <n v="1929672"/>
    <n v="750428"/>
    <n v="0.28000000000000003"/>
  </r>
  <r>
    <d v="2024-01-02T00:00:00"/>
    <x v="2"/>
    <s v="Cliente Final"/>
    <x v="2"/>
    <s v="Medio"/>
    <s v="Smart TV 50&quot;"/>
    <n v="1"/>
    <n v="1389779"/>
    <n v="1042334"/>
    <s v="San Lorenzo"/>
    <n v="1389779"/>
    <n v="1042334"/>
    <n v="347445"/>
    <n v="0.25000017988471546"/>
  </r>
  <r>
    <d v="2024-01-06T00:00:00"/>
    <x v="1"/>
    <s v="Cliente Final"/>
    <x v="1"/>
    <s v="Premium"/>
    <s v="Procesadora Premium"/>
    <n v="3"/>
    <n v="1541802"/>
    <n v="1079261"/>
    <s v="Asunción"/>
    <n v="4625406"/>
    <n v="3237783"/>
    <n v="1387623"/>
    <n v="0.30000025943668512"/>
  </r>
  <r>
    <d v="2024-06-07T00:00:00"/>
    <x v="3"/>
    <s v="Cliente Final"/>
    <x v="1"/>
    <s v="Medio"/>
    <s v="Cafetera Eléctrica"/>
    <n v="2"/>
    <n v="738554"/>
    <n v="480060"/>
    <s v="Luque"/>
    <n v="1477108"/>
    <n v="960120"/>
    <n v="516988"/>
    <n v="0.35000013539971347"/>
  </r>
  <r>
    <d v="2024-06-26T00:00:00"/>
    <x v="0"/>
    <s v="Cliente Final"/>
    <x v="1"/>
    <s v="Premium"/>
    <s v="Procesadora Premium"/>
    <n v="1"/>
    <n v="1795473"/>
    <n v="1256831"/>
    <s v="Asunción"/>
    <n v="1795473"/>
    <n v="1256831"/>
    <n v="538642"/>
    <n v="0.30000005569563004"/>
  </r>
  <r>
    <d v="2024-01-31T00:00:00"/>
    <x v="1"/>
    <s v="Cliente Final"/>
    <x v="2"/>
    <s v="Medio"/>
    <s v="Smart TV 50&quot;"/>
    <n v="1"/>
    <n v="1303995"/>
    <n v="977996"/>
    <s v="San Lorenzo"/>
    <n v="1303995"/>
    <n v="977996"/>
    <n v="325999"/>
    <n v="0.25000019171852655"/>
  </r>
  <r>
    <d v="2024-05-13T00:00:00"/>
    <x v="0"/>
    <s v="Cliente Final"/>
    <x v="1"/>
    <s v="Básico"/>
    <s v="Licuadora Básica"/>
    <n v="1"/>
    <n v="339631"/>
    <n v="203778"/>
    <s v="Fernando de la Mora"/>
    <n v="339631"/>
    <n v="203778"/>
    <n v="135853"/>
    <n v="0.40000176662318809"/>
  </r>
  <r>
    <d v="2024-02-10T00:00:00"/>
    <x v="0"/>
    <s v="Cliente Final"/>
    <x v="1"/>
    <s v="Medio"/>
    <s v="Cafetera Eléctrica"/>
    <n v="1"/>
    <n v="1001877"/>
    <n v="651220"/>
    <s v="Fernando de la Mora"/>
    <n v="1001877"/>
    <n v="651220"/>
    <n v="350657"/>
    <n v="0.35000004990632583"/>
  </r>
  <r>
    <d v="2024-06-27T00:00:00"/>
    <x v="1"/>
    <s v="Cliente Final"/>
    <x v="2"/>
    <s v="Medio"/>
    <s v="Smart TV 50&quot;"/>
    <n v="1"/>
    <n v="1899792"/>
    <n v="1424844"/>
    <s v="Fernando de la Mora"/>
    <n v="1899792"/>
    <n v="1424844"/>
    <n v="474948"/>
    <n v="0.25"/>
  </r>
  <r>
    <d v="2024-04-03T00:00:00"/>
    <x v="2"/>
    <s v="Cliente Final"/>
    <x v="3"/>
    <s v="Premium"/>
    <s v="Heladera Premium 450L"/>
    <n v="1"/>
    <n v="5514362"/>
    <n v="4411489"/>
    <s v="Asunción"/>
    <n v="5514362"/>
    <n v="4411489"/>
    <n v="1102873"/>
    <n v="0.2000001088067849"/>
  </r>
  <r>
    <d v="2024-03-19T00:00:00"/>
    <x v="3"/>
    <s v="Cliente Final"/>
    <x v="1"/>
    <s v="Medio"/>
    <s v="Cafetera Eléctrica"/>
    <n v="2"/>
    <n v="1126950"/>
    <n v="732517"/>
    <s v="Fernando de la Mora"/>
    <n v="2253900"/>
    <n v="1465034"/>
    <n v="788866"/>
    <n v="0.35000044367540706"/>
  </r>
  <r>
    <d v="2024-03-03T00:00:00"/>
    <x v="0"/>
    <s v="Cliente Final"/>
    <x v="2"/>
    <s v="Básico"/>
    <s v="TV LED 32&quot;"/>
    <n v="1"/>
    <n v="1287357"/>
    <n v="901149"/>
    <s v="Lambaré"/>
    <n v="1287357"/>
    <n v="901149"/>
    <n v="386208"/>
    <n v="0.30000069910677457"/>
  </r>
  <r>
    <d v="2024-06-04T00:00:00"/>
    <x v="0"/>
    <s v="Cliente Final"/>
    <x v="1"/>
    <s v="Premium"/>
    <s v="Procesadora Premium"/>
    <n v="2"/>
    <n v="1482796"/>
    <n v="1037957"/>
    <s v="Luque"/>
    <n v="2965592"/>
    <n v="2075914"/>
    <n v="889678"/>
    <n v="0.30000013488032068"/>
  </r>
  <r>
    <d v="2024-01-18T00:00:00"/>
    <x v="3"/>
    <s v="Cliente Final"/>
    <x v="3"/>
    <s v="Medio"/>
    <s v="Heladera Inverter 300L"/>
    <n v="1"/>
    <n v="3540465"/>
    <n v="2761562"/>
    <s v="Asunción"/>
    <n v="3540465"/>
    <n v="2761562"/>
    <n v="778903"/>
    <n v="0.22000019771414206"/>
  </r>
  <r>
    <d v="2024-05-08T00:00:00"/>
    <x v="1"/>
    <s v="Cliente Final"/>
    <x v="4"/>
    <s v="Medio"/>
    <s v="Split 12000 BTU"/>
    <n v="1"/>
    <n v="5855887"/>
    <n v="4391915"/>
    <s v="Lambaré"/>
    <n v="5855887"/>
    <n v="4391915"/>
    <n v="1463972"/>
    <n v="0.25000004269208065"/>
  </r>
  <r>
    <d v="2024-04-11T00:00:00"/>
    <x v="3"/>
    <s v="Cliente Final"/>
    <x v="3"/>
    <s v="Medio"/>
    <s v="Heladera Inverter 300L"/>
    <n v="1"/>
    <n v="4563861"/>
    <n v="3559811"/>
    <s v="Luque"/>
    <n v="4563861"/>
    <n v="3559811"/>
    <n v="1004050"/>
    <n v="0.22000012708537792"/>
  </r>
  <r>
    <d v="2024-02-08T00:00:00"/>
    <x v="0"/>
    <s v="Cliente Final"/>
    <x v="0"/>
    <s v="Medio"/>
    <s v="Lavarropas Automático"/>
    <n v="1"/>
    <n v="3031434"/>
    <n v="2364518"/>
    <s v="Lambaré"/>
    <n v="3031434"/>
    <n v="2364518"/>
    <n v="666916"/>
    <n v="0.22000017153597934"/>
  </r>
  <r>
    <d v="2024-02-05T00:00:00"/>
    <x v="0"/>
    <s v="Cliente Final"/>
    <x v="0"/>
    <s v="Medio"/>
    <s v="Lavarropas Automático"/>
    <n v="1"/>
    <n v="3036860"/>
    <n v="2368750"/>
    <s v="San Lorenzo"/>
    <n v="3036860"/>
    <n v="2368750"/>
    <n v="668110"/>
    <n v="0.22000026342999018"/>
  </r>
  <r>
    <d v="2024-03-17T00:00:00"/>
    <x v="3"/>
    <s v="Cliente Final"/>
    <x v="4"/>
    <s v="Medio"/>
    <s v="Split 12000 BTU"/>
    <n v="1"/>
    <n v="4502106"/>
    <n v="3376579"/>
    <s v="Asunción"/>
    <n v="4502106"/>
    <n v="3376579"/>
    <n v="1125527"/>
    <n v="0.25000011105913544"/>
  </r>
  <r>
    <d v="2024-03-31T00:00:00"/>
    <x v="2"/>
    <s v="Cliente Final"/>
    <x v="2"/>
    <s v="Medio"/>
    <s v="Smart TV 50&quot;"/>
    <n v="1"/>
    <n v="1330261"/>
    <n v="997695"/>
    <s v="Fernando de la Mora"/>
    <n v="1330261"/>
    <n v="997695"/>
    <n v="332566"/>
    <n v="0.25000056379913416"/>
  </r>
  <r>
    <d v="2024-03-03T00:00:00"/>
    <x v="2"/>
    <s v="Cliente Final"/>
    <x v="3"/>
    <s v="Premium"/>
    <s v="Heladera Premium 450L"/>
    <n v="1"/>
    <n v="7030132"/>
    <n v="5624105"/>
    <s v="Fernando de la Mora"/>
    <n v="7030132"/>
    <n v="5624105"/>
    <n v="1406027"/>
    <n v="0.20000008534690386"/>
  </r>
  <r>
    <d v="2024-03-14T00:00:00"/>
    <x v="3"/>
    <s v="Cliente Final"/>
    <x v="0"/>
    <s v="Básico"/>
    <s v="Lavarropas Semiautomático"/>
    <n v="1"/>
    <n v="1764114"/>
    <n v="1323085"/>
    <s v="Asunción"/>
    <n v="1764114"/>
    <n v="1323085"/>
    <n v="441029"/>
    <n v="0.2500002834283952"/>
  </r>
  <r>
    <d v="2024-03-13T00:00:00"/>
    <x v="2"/>
    <s v="Cliente Final"/>
    <x v="3"/>
    <s v="Básico"/>
    <s v="Heladera Básica 250L"/>
    <n v="1"/>
    <n v="3086776"/>
    <n v="2315082"/>
    <s v="Fernando de la Mora"/>
    <n v="3086776"/>
    <n v="2315082"/>
    <n v="771694"/>
    <n v="0.25"/>
  </r>
  <r>
    <d v="2024-04-13T00:00:00"/>
    <x v="1"/>
    <s v="Cliente Final"/>
    <x v="0"/>
    <s v="Medio"/>
    <s v="Lavarropas Automático"/>
    <n v="1"/>
    <n v="3089474"/>
    <n v="2409789"/>
    <s v="Luque"/>
    <n v="3089474"/>
    <n v="2409789"/>
    <n v="679685"/>
    <n v="0.22000023304937993"/>
  </r>
  <r>
    <d v="2024-03-30T00:00:00"/>
    <x v="2"/>
    <s v="Cliente Final"/>
    <x v="0"/>
    <s v="Básico"/>
    <s v="Lavarropas Semiautomático"/>
    <n v="1"/>
    <n v="2108966"/>
    <n v="1581724"/>
    <s v="Fernando de la Mora"/>
    <n v="2108966"/>
    <n v="1581724"/>
    <n v="527242"/>
    <n v="0.25000023708300656"/>
  </r>
  <r>
    <d v="2024-06-09T00:00:00"/>
    <x v="2"/>
    <s v="Cliente Final"/>
    <x v="2"/>
    <s v="Básico"/>
    <s v="TV LED 32&quot;"/>
    <n v="1"/>
    <n v="1201836"/>
    <n v="841285"/>
    <s v="Asunción"/>
    <n v="1201836"/>
    <n v="841285"/>
    <n v="360551"/>
    <n v="0.30000016641205624"/>
  </r>
  <r>
    <d v="2024-06-23T00:00:00"/>
    <x v="0"/>
    <s v="Cliente Final"/>
    <x v="2"/>
    <s v="Premium"/>
    <s v="Smart TV 65&quot; 4K"/>
    <n v="1"/>
    <n v="2337021"/>
    <n v="1869616"/>
    <s v="San Lorenzo"/>
    <n v="2337021"/>
    <n v="1869616"/>
    <n v="467405"/>
    <n v="0.20000034231613664"/>
  </r>
  <r>
    <d v="2024-01-21T00:00:00"/>
    <x v="1"/>
    <s v="Cliente Final"/>
    <x v="0"/>
    <s v="Medio"/>
    <s v="Lavarropas Automático"/>
    <n v="1"/>
    <n v="3229420"/>
    <n v="2518947"/>
    <s v="Asunción"/>
    <n v="3229420"/>
    <n v="2518947"/>
    <n v="710473"/>
    <n v="0.22000018579187594"/>
  </r>
  <r>
    <d v="2024-05-27T00:00:00"/>
    <x v="1"/>
    <s v="Cliente Final"/>
    <x v="4"/>
    <s v="Premium"/>
    <s v="Split Inverter"/>
    <n v="1"/>
    <n v="7586064"/>
    <n v="6068851"/>
    <s v="Lambaré"/>
    <n v="7586064"/>
    <n v="6068851"/>
    <n v="1517213"/>
    <n v="0.20000002636413297"/>
  </r>
  <r>
    <d v="2024-01-19T00:00:00"/>
    <x v="3"/>
    <s v="Cliente Final"/>
    <x v="3"/>
    <s v="Premium"/>
    <s v="Heladera Premium 450L"/>
    <n v="1"/>
    <n v="7231964"/>
    <n v="5785571"/>
    <s v="Luque"/>
    <n v="7231964"/>
    <n v="5785571"/>
    <n v="1446393"/>
    <n v="0.20000002765500491"/>
  </r>
  <r>
    <d v="2024-04-07T00:00:00"/>
    <x v="1"/>
    <s v="Cliente Final"/>
    <x v="2"/>
    <s v="Premium"/>
    <s v="Smart TV 65&quot; 4K"/>
    <n v="1"/>
    <n v="2035641"/>
    <n v="1628512"/>
    <s v="San Lorenzo"/>
    <n v="2035641"/>
    <n v="1628512"/>
    <n v="407129"/>
    <n v="0.20000039299660402"/>
  </r>
  <r>
    <d v="2024-03-13T00:00:00"/>
    <x v="0"/>
    <s v="Cliente Final"/>
    <x v="0"/>
    <s v="Premium"/>
    <s v="Lavarropas Inverter"/>
    <n v="1"/>
    <n v="4585007"/>
    <n v="3668005"/>
    <s v="Asunción"/>
    <n v="4585007"/>
    <n v="3668005"/>
    <n v="917002"/>
    <n v="0.20000013086130511"/>
  </r>
  <r>
    <d v="2024-03-12T00:00:00"/>
    <x v="1"/>
    <s v="Cliente Final"/>
    <x v="1"/>
    <s v="Premium"/>
    <s v="Procesadora Premium"/>
    <n v="2"/>
    <n v="1601733"/>
    <n v="1121213"/>
    <s v="Fernando de la Mora"/>
    <n v="3203466"/>
    <n v="2242426"/>
    <n v="961040"/>
    <n v="0.30000006243237792"/>
  </r>
  <r>
    <d v="2024-06-22T00:00:00"/>
    <x v="0"/>
    <s v="Cliente Final"/>
    <x v="3"/>
    <s v="Medio"/>
    <s v="Heladera Inverter 300L"/>
    <n v="1"/>
    <n v="4287063"/>
    <n v="3343909"/>
    <s v="San Lorenzo"/>
    <n v="4287063"/>
    <n v="3343909"/>
    <n v="943154"/>
    <n v="0.2200000326563897"/>
  </r>
  <r>
    <d v="2024-02-15T00:00:00"/>
    <x v="1"/>
    <s v="Cliente Final"/>
    <x v="2"/>
    <s v="Básico"/>
    <s v="TV LED 32&quot;"/>
    <n v="1"/>
    <n v="1175937"/>
    <n v="823155"/>
    <s v="Lambaré"/>
    <n v="1175937"/>
    <n v="823155"/>
    <n v="352782"/>
    <n v="0.30000076534712317"/>
  </r>
  <r>
    <d v="2024-05-03T00:00:00"/>
    <x v="0"/>
    <s v="Cliente Final"/>
    <x v="4"/>
    <s v="Premium"/>
    <s v="Split Inverter"/>
    <n v="1"/>
    <n v="6381803"/>
    <n v="5105442"/>
    <s v="Luque"/>
    <n v="6381803"/>
    <n v="5105442"/>
    <n v="1276361"/>
    <n v="0.20000006267821177"/>
  </r>
  <r>
    <d v="2024-02-27T00:00:00"/>
    <x v="2"/>
    <s v="Cliente Final"/>
    <x v="1"/>
    <s v="Medio"/>
    <s v="Cafetera Eléctrica"/>
    <n v="2"/>
    <n v="1178351"/>
    <n v="765928"/>
    <s v="Fernando de la Mora"/>
    <n v="2356702"/>
    <n v="1531856"/>
    <n v="824846"/>
    <n v="0.35000012729653557"/>
  </r>
  <r>
    <d v="2024-06-13T00:00:00"/>
    <x v="2"/>
    <s v="Cliente Final"/>
    <x v="0"/>
    <s v="Medio"/>
    <s v="Lavarropas Automático"/>
    <n v="1"/>
    <n v="2982448"/>
    <n v="2326309"/>
    <s v="Asunción"/>
    <n v="2982448"/>
    <n v="2326309"/>
    <n v="656139"/>
    <n v="0.22000014752981442"/>
  </r>
  <r>
    <d v="2024-01-25T00:00:00"/>
    <x v="2"/>
    <s v="Cliente Final"/>
    <x v="3"/>
    <s v="Medio"/>
    <s v="Heladera Inverter 300L"/>
    <n v="1"/>
    <n v="4916325"/>
    <n v="3834733"/>
    <s v="Fernando de la Mora"/>
    <n v="4916325"/>
    <n v="3834733"/>
    <n v="1081592"/>
    <n v="0.22000010170198267"/>
  </r>
  <r>
    <d v="2024-06-23T00:00:00"/>
    <x v="3"/>
    <s v="Cliente Final"/>
    <x v="2"/>
    <s v="Básico"/>
    <s v="TV LED 32&quot;"/>
    <n v="1"/>
    <n v="838939"/>
    <n v="587257"/>
    <s v="Asunción"/>
    <n v="838939"/>
    <n v="587257"/>
    <n v="251682"/>
    <n v="0.30000035759453308"/>
  </r>
  <r>
    <d v="2024-05-18T00:00:00"/>
    <x v="3"/>
    <s v="Cliente Final"/>
    <x v="3"/>
    <s v="Medio"/>
    <s v="Heladera Inverter 300L"/>
    <n v="1"/>
    <n v="3296165"/>
    <n v="2571008"/>
    <s v="Asunción"/>
    <n v="3296165"/>
    <n v="2571008"/>
    <n v="725157"/>
    <n v="0.22000021236800948"/>
  </r>
  <r>
    <d v="2024-03-22T00:00:00"/>
    <x v="0"/>
    <s v="Cliente Final"/>
    <x v="3"/>
    <s v="Premium"/>
    <s v="Heladera Premium 450L"/>
    <n v="1"/>
    <n v="7877600"/>
    <n v="6302080"/>
    <s v="Luque"/>
    <n v="7877600"/>
    <n v="6302080"/>
    <n v="1575520"/>
    <n v="0.2"/>
  </r>
  <r>
    <d v="2024-03-12T00:00:00"/>
    <x v="3"/>
    <s v="Cliente Final"/>
    <x v="1"/>
    <s v="Medio"/>
    <s v="Cafetera Eléctrica"/>
    <n v="3"/>
    <n v="1029474"/>
    <n v="669158"/>
    <s v="San Lorenzo"/>
    <n v="3088422"/>
    <n v="2007474"/>
    <n v="1080948"/>
    <n v="0.35000009713698454"/>
  </r>
  <r>
    <d v="2024-04-15T00:00:00"/>
    <x v="2"/>
    <s v="Cliente Final"/>
    <x v="3"/>
    <s v="Premium"/>
    <s v="Heladera Premium 450L"/>
    <n v="1"/>
    <n v="9182593"/>
    <n v="7346074"/>
    <s v="Asunción"/>
    <n v="9182593"/>
    <n v="7346074"/>
    <n v="1836519"/>
    <n v="0.20000004356068052"/>
  </r>
  <r>
    <d v="2024-02-15T00:00:00"/>
    <x v="1"/>
    <s v="Cliente Final"/>
    <x v="0"/>
    <s v="Básico"/>
    <s v="Lavarropas Semiautomático"/>
    <n v="1"/>
    <n v="2254105"/>
    <n v="1690578"/>
    <s v="Fernando de la Mora"/>
    <n v="2254105"/>
    <n v="1690578"/>
    <n v="563527"/>
    <n v="0.25000033272629268"/>
  </r>
  <r>
    <d v="2024-01-23T00:00:00"/>
    <x v="2"/>
    <s v="Cliente Final"/>
    <x v="4"/>
    <s v="Medio"/>
    <s v="Split 12000 BTU"/>
    <n v="1"/>
    <n v="4698793"/>
    <n v="3524094"/>
    <s v="San Lorenzo"/>
    <n v="4698793"/>
    <n v="3524094"/>
    <n v="1174699"/>
    <n v="0.25000015961545868"/>
  </r>
  <r>
    <d v="2024-01-28T00:00:00"/>
    <x v="2"/>
    <s v="Cliente Final"/>
    <x v="1"/>
    <s v="Básico"/>
    <s v="Licuadora Básica"/>
    <n v="3"/>
    <n v="353997"/>
    <n v="212398"/>
    <s v="Luque"/>
    <n v="1061991"/>
    <n v="637194"/>
    <n v="424797"/>
    <n v="0.40000056497653935"/>
  </r>
  <r>
    <d v="2024-04-07T00:00:00"/>
    <x v="1"/>
    <s v="Cliente Final"/>
    <x v="4"/>
    <s v="Medio"/>
    <s v="Split 12000 BTU"/>
    <n v="1"/>
    <n v="5350672"/>
    <n v="4013004"/>
    <s v="Luque"/>
    <n v="5350672"/>
    <n v="4013004"/>
    <n v="1337668"/>
    <n v="0.25"/>
  </r>
  <r>
    <d v="2024-04-18T00:00:00"/>
    <x v="0"/>
    <s v="Cliente Final"/>
    <x v="0"/>
    <s v="Básico"/>
    <s v="Lavarropas Semiautomático"/>
    <n v="1"/>
    <n v="2661171"/>
    <n v="1995878"/>
    <s v="Luque"/>
    <n v="2661171"/>
    <n v="1995878"/>
    <n v="665293"/>
    <n v="0.25000009394360601"/>
  </r>
  <r>
    <d v="2024-06-01T00:00:00"/>
    <x v="3"/>
    <s v="Cliente Final"/>
    <x v="1"/>
    <s v="Medio"/>
    <s v="Cafetera Eléctrica"/>
    <n v="1"/>
    <n v="694910"/>
    <n v="451691"/>
    <s v="San Lorenzo"/>
    <n v="694910"/>
    <n v="451691"/>
    <n v="243219"/>
    <n v="0.35000071951763539"/>
  </r>
  <r>
    <d v="2024-06-19T00:00:00"/>
    <x v="2"/>
    <s v="Cliente Final"/>
    <x v="4"/>
    <s v="Premium"/>
    <s v="Split Inverter"/>
    <n v="1"/>
    <n v="8424650"/>
    <n v="6739720"/>
    <s v="Asunción"/>
    <n v="8424650"/>
    <n v="6739720"/>
    <n v="1684930"/>
    <n v="0.2"/>
  </r>
  <r>
    <d v="2024-06-14T00:00:00"/>
    <x v="0"/>
    <s v="Cliente Final"/>
    <x v="0"/>
    <s v="Básico"/>
    <s v="Lavarropas Semiautomático"/>
    <n v="1"/>
    <n v="1978021"/>
    <n v="1483515"/>
    <s v="Lambaré"/>
    <n v="1978021"/>
    <n v="1483515"/>
    <n v="494506"/>
    <n v="0.25000037916685414"/>
  </r>
  <r>
    <d v="2024-02-13T00:00:00"/>
    <x v="0"/>
    <s v="Cliente Final"/>
    <x v="1"/>
    <s v="Medio"/>
    <s v="Cafetera Eléctrica"/>
    <n v="3"/>
    <n v="833010"/>
    <n v="541456"/>
    <s v="San Lorenzo"/>
    <n v="2499030"/>
    <n v="1624368"/>
    <n v="874662"/>
    <n v="0.35000060023289037"/>
  </r>
  <r>
    <d v="2024-04-30T00:00:00"/>
    <x v="3"/>
    <s v="Cliente Final"/>
    <x v="2"/>
    <s v="Premium"/>
    <s v="Smart TV 65&quot; 4K"/>
    <n v="1"/>
    <n v="2698837"/>
    <n v="2159069"/>
    <s v="Fernando de la Mora"/>
    <n v="2698837"/>
    <n v="2159069"/>
    <n v="539768"/>
    <n v="0.20000022231798364"/>
  </r>
  <r>
    <d v="2024-05-11T00:00:00"/>
    <x v="2"/>
    <s v="Cliente Final"/>
    <x v="1"/>
    <s v="Medio"/>
    <s v="Cafetera Eléctrica"/>
    <n v="1"/>
    <n v="673222"/>
    <n v="437594"/>
    <s v="Asunción"/>
    <n v="673222"/>
    <n v="437594"/>
    <n v="235628"/>
    <n v="0.3500004456182359"/>
  </r>
  <r>
    <d v="2024-03-08T00:00:00"/>
    <x v="2"/>
    <s v="Cliente Final"/>
    <x v="0"/>
    <s v="Básico"/>
    <s v="Lavarropas Semiautomático"/>
    <n v="1"/>
    <n v="2103184"/>
    <n v="1577388"/>
    <s v="San Lorenzo"/>
    <n v="2103184"/>
    <n v="1577388"/>
    <n v="525796"/>
    <n v="0.25"/>
  </r>
  <r>
    <d v="2024-03-05T00:00:00"/>
    <x v="3"/>
    <s v="Cliente Final"/>
    <x v="0"/>
    <s v="Premium"/>
    <s v="Lavarropas Inverter"/>
    <n v="1"/>
    <n v="4067837"/>
    <n v="3254269"/>
    <s v="Asunción"/>
    <n v="4067837"/>
    <n v="3254269"/>
    <n v="813568"/>
    <n v="0.20000014749853545"/>
  </r>
  <r>
    <d v="2024-01-02T00:00:00"/>
    <x v="1"/>
    <s v="Cliente Final"/>
    <x v="1"/>
    <s v="Medio"/>
    <s v="Cafetera Eléctrica"/>
    <n v="2"/>
    <n v="1117647"/>
    <n v="726470"/>
    <s v="Luque"/>
    <n v="2235294"/>
    <n v="1452940"/>
    <n v="782354"/>
    <n v="0.35000049210528905"/>
  </r>
  <r>
    <d v="2024-06-30T00:00:00"/>
    <x v="1"/>
    <s v="Cliente Final"/>
    <x v="0"/>
    <s v="Básico"/>
    <s v="Lavarropas Semiautomático"/>
    <n v="1"/>
    <n v="2506350"/>
    <n v="1879762"/>
    <s v="Fernando de la Mora"/>
    <n v="2506350"/>
    <n v="1879762"/>
    <n v="626588"/>
    <n v="0.25000019949328706"/>
  </r>
  <r>
    <d v="2024-05-12T00:00:00"/>
    <x v="0"/>
    <s v="Cliente Final"/>
    <x v="0"/>
    <s v="Medio"/>
    <s v="Lavarropas Automático"/>
    <n v="1"/>
    <n v="3525136"/>
    <n v="2749606"/>
    <s v="Fernando de la Mora"/>
    <n v="3525136"/>
    <n v="2749606"/>
    <n v="775530"/>
    <n v="0.22000002269415989"/>
  </r>
  <r>
    <d v="2024-04-27T00:00:00"/>
    <x v="2"/>
    <s v="Cliente Final"/>
    <x v="3"/>
    <s v="Medio"/>
    <s v="Heladera Inverter 300L"/>
    <n v="1"/>
    <n v="3751272"/>
    <n v="2925992"/>
    <s v="Asunción"/>
    <n v="3751272"/>
    <n v="2925992"/>
    <n v="825280"/>
    <n v="0.22000004265219905"/>
  </r>
  <r>
    <d v="2024-02-19T00:00:00"/>
    <x v="2"/>
    <s v="Cliente Final"/>
    <x v="4"/>
    <s v="Medio"/>
    <s v="Split 12000 BTU"/>
    <n v="1"/>
    <n v="5393060"/>
    <n v="4044795"/>
    <s v="Fernando de la Mora"/>
    <n v="5393060"/>
    <n v="4044795"/>
    <n v="1348265"/>
    <n v="0.25"/>
  </r>
  <r>
    <d v="2024-01-16T00:00:00"/>
    <x v="2"/>
    <s v="Cliente Final"/>
    <x v="4"/>
    <s v="Premium"/>
    <s v="Split Inverter"/>
    <n v="1"/>
    <n v="6387923"/>
    <n v="5110338"/>
    <s v="San Lorenzo"/>
    <n v="6387923"/>
    <n v="5110338"/>
    <n v="1277585"/>
    <n v="0.20000006261816242"/>
  </r>
  <r>
    <d v="2024-01-05T00:00:00"/>
    <x v="0"/>
    <s v="Cliente Final"/>
    <x v="2"/>
    <s v="Premium"/>
    <s v="Smart TV 65&quot; 4K"/>
    <n v="1"/>
    <n v="2860674"/>
    <n v="2288539"/>
    <s v="San Lorenzo"/>
    <n v="2860674"/>
    <n v="2288539"/>
    <n v="572135"/>
    <n v="0.20000006991359379"/>
  </r>
  <r>
    <d v="2024-04-26T00:00:00"/>
    <x v="1"/>
    <s v="Cliente Final"/>
    <x v="2"/>
    <s v="Premium"/>
    <s v="Smart TV 65&quot; 4K"/>
    <n v="1"/>
    <n v="3272213"/>
    <n v="2617770"/>
    <s v="Fernando de la Mora"/>
    <n v="3272213"/>
    <n v="2617770"/>
    <n v="654443"/>
    <n v="0.2000001222414311"/>
  </r>
  <r>
    <d v="2024-06-28T00:00:00"/>
    <x v="1"/>
    <s v="Cliente Final"/>
    <x v="1"/>
    <s v="Premium"/>
    <s v="Procesadora Premium"/>
    <n v="1"/>
    <n v="1290305"/>
    <n v="903213"/>
    <s v="Luque"/>
    <n v="1290305"/>
    <n v="903213"/>
    <n v="387092"/>
    <n v="0.30000038750527974"/>
  </r>
  <r>
    <d v="2024-03-07T00:00:00"/>
    <x v="0"/>
    <s v="Cliente Final"/>
    <x v="1"/>
    <s v="Medio"/>
    <s v="Cafetera Eléctrica"/>
    <n v="1"/>
    <n v="679769"/>
    <n v="441849"/>
    <s v="Luque"/>
    <n v="679769"/>
    <n v="441849"/>
    <n v="237920"/>
    <n v="0.35000125042477664"/>
  </r>
  <r>
    <d v="2024-04-09T00:00:00"/>
    <x v="1"/>
    <s v="Cliente Final"/>
    <x v="4"/>
    <s v="Básico"/>
    <s v="Aire Ventana"/>
    <n v="1"/>
    <n v="2626591"/>
    <n v="1891145"/>
    <s v="Asunción"/>
    <n v="2626591"/>
    <n v="1891145"/>
    <n v="735446"/>
    <n v="0.28000019797524622"/>
  </r>
  <r>
    <d v="2024-02-04T00:00:00"/>
    <x v="1"/>
    <s v="Cliente Final"/>
    <x v="0"/>
    <s v="Medio"/>
    <s v="Lavarropas Automático"/>
    <n v="1"/>
    <n v="3114947"/>
    <n v="2429658"/>
    <s v="Asunción"/>
    <n v="3114947"/>
    <n v="2429658"/>
    <n v="685289"/>
    <n v="0.22000021188161467"/>
  </r>
  <r>
    <d v="2024-03-02T00:00:00"/>
    <x v="2"/>
    <s v="Cliente Final"/>
    <x v="0"/>
    <s v="Medio"/>
    <s v="Lavarropas Automático"/>
    <n v="1"/>
    <n v="3785663"/>
    <n v="2952817"/>
    <s v="Fernando de la Mora"/>
    <n v="3785663"/>
    <n v="2952817"/>
    <n v="832846"/>
    <n v="0.22000003698163306"/>
  </r>
  <r>
    <d v="2024-05-20T00:00:00"/>
    <x v="3"/>
    <s v="Cliente Final"/>
    <x v="3"/>
    <s v="Medio"/>
    <s v="Heladera Inverter 300L"/>
    <n v="1"/>
    <n v="3988881"/>
    <n v="3111327"/>
    <s v="Asunción"/>
    <n v="3988881"/>
    <n v="3111327"/>
    <n v="877554"/>
    <n v="0.22000004512543744"/>
  </r>
  <r>
    <d v="2024-01-07T00:00:00"/>
    <x v="2"/>
    <s v="Cliente Final"/>
    <x v="2"/>
    <s v="Medio"/>
    <s v="Smart TV 50&quot;"/>
    <n v="1"/>
    <n v="1422490"/>
    <n v="1066867"/>
    <s v="San Lorenzo"/>
    <n v="1422490"/>
    <n v="1066867"/>
    <n v="355623"/>
    <n v="0.25000035149631983"/>
  </r>
  <r>
    <d v="2024-05-28T00:00:00"/>
    <x v="3"/>
    <s v="Cliente Final"/>
    <x v="4"/>
    <s v="Premium"/>
    <s v="Split Inverter"/>
    <n v="1"/>
    <n v="6617998"/>
    <n v="5294398"/>
    <s v="Lambaré"/>
    <n v="6617998"/>
    <n v="5294398"/>
    <n v="1323600"/>
    <n v="0.20000006044123919"/>
  </r>
  <r>
    <d v="2024-02-27T00:00:00"/>
    <x v="1"/>
    <s v="Cliente Final"/>
    <x v="1"/>
    <s v="Premium"/>
    <s v="Procesadora Premium"/>
    <n v="1"/>
    <n v="1216333"/>
    <n v="851433"/>
    <s v="Fernando de la Mora"/>
    <n v="1216333"/>
    <n v="851433"/>
    <n v="364900"/>
    <n v="0.30000008221432783"/>
  </r>
  <r>
    <d v="2024-06-27T00:00:00"/>
    <x v="3"/>
    <s v="Cliente Final"/>
    <x v="2"/>
    <s v="Premium"/>
    <s v="Smart TV 65&quot; 4K"/>
    <n v="1"/>
    <n v="2439747"/>
    <n v="1951797"/>
    <s v="Luque"/>
    <n v="2439747"/>
    <n v="1951797"/>
    <n v="487950"/>
    <n v="0.20000024592713916"/>
  </r>
  <r>
    <d v="2024-01-10T00:00:00"/>
    <x v="1"/>
    <s v="Cliente Final"/>
    <x v="1"/>
    <s v="Medio"/>
    <s v="Cafetera Eléctrica"/>
    <n v="2"/>
    <n v="845736"/>
    <n v="549728"/>
    <s v="Asunción"/>
    <n v="1691472"/>
    <n v="1099456"/>
    <n v="592016"/>
    <n v="0.35000047296082937"/>
  </r>
  <r>
    <d v="2024-03-07T00:00:00"/>
    <x v="2"/>
    <s v="Cliente Final"/>
    <x v="1"/>
    <s v="Medio"/>
    <s v="Cafetera Eléctrica"/>
    <n v="3"/>
    <n v="993657"/>
    <n v="645877"/>
    <s v="San Lorenzo"/>
    <n v="2980971"/>
    <n v="1937631"/>
    <n v="1043340"/>
    <n v="0.35000005031917453"/>
  </r>
  <r>
    <d v="2024-03-06T00:00:00"/>
    <x v="2"/>
    <s v="Cliente Final"/>
    <x v="2"/>
    <s v="Básico"/>
    <s v="TV LED 32&quot;"/>
    <n v="1"/>
    <n v="1219336"/>
    <n v="853535"/>
    <s v="Asunción"/>
    <n v="1219336"/>
    <n v="853535"/>
    <n v="365801"/>
    <n v="0.30000016402369817"/>
  </r>
  <r>
    <d v="2024-03-16T00:00:00"/>
    <x v="2"/>
    <s v="Cliente Final"/>
    <x v="1"/>
    <s v="Medio"/>
    <s v="Cafetera Eléctrica"/>
    <n v="2"/>
    <n v="979465"/>
    <n v="636652"/>
    <s v="Fernando de la Mora"/>
    <n v="1958930"/>
    <n v="1273304"/>
    <n v="685626"/>
    <n v="0.35000025524138179"/>
  </r>
  <r>
    <d v="2024-04-07T00:00:00"/>
    <x v="1"/>
    <s v="Cliente Final"/>
    <x v="2"/>
    <s v="Básico"/>
    <s v="TV LED 32&quot;"/>
    <n v="1"/>
    <n v="1002463"/>
    <n v="701724"/>
    <s v="Fernando de la Mora"/>
    <n v="1002463"/>
    <n v="701724"/>
    <n v="300739"/>
    <n v="0.30000009975430514"/>
  </r>
  <r>
    <d v="2024-05-03T00:00:00"/>
    <x v="0"/>
    <s v="Cliente Final"/>
    <x v="3"/>
    <s v="Medio"/>
    <s v="Heladera Inverter 300L"/>
    <n v="1"/>
    <n v="4395501"/>
    <n v="3428490"/>
    <s v="Lambaré"/>
    <n v="4395501"/>
    <n v="3428490"/>
    <n v="967011"/>
    <n v="0.22000017745417416"/>
  </r>
  <r>
    <d v="2024-05-02T00:00:00"/>
    <x v="1"/>
    <s v="Cliente Final"/>
    <x v="3"/>
    <s v="Básico"/>
    <s v="Heladera Básica 250L"/>
    <n v="1"/>
    <n v="2224612"/>
    <n v="1668459"/>
    <s v="Asunción"/>
    <n v="2224612"/>
    <n v="1668459"/>
    <n v="556153"/>
    <n v="0.25"/>
  </r>
  <r>
    <d v="2024-03-02T00:00:00"/>
    <x v="1"/>
    <s v="Cliente Final"/>
    <x v="1"/>
    <s v="Medio"/>
    <s v="Cafetera Eléctrica"/>
    <n v="3"/>
    <n v="775114"/>
    <n v="503824"/>
    <s v="San Lorenzo"/>
    <n v="2325342"/>
    <n v="1511472"/>
    <n v="813870"/>
    <n v="0.35000012901328065"/>
  </r>
  <r>
    <d v="2024-06-21T00:00:00"/>
    <x v="2"/>
    <s v="Cliente Final"/>
    <x v="3"/>
    <s v="Básico"/>
    <s v="Heladera Básica 250L"/>
    <n v="1"/>
    <n v="2873627"/>
    <n v="2155220"/>
    <s v="San Lorenzo"/>
    <n v="2873627"/>
    <n v="2155220"/>
    <n v="718407"/>
    <n v="0.25000008699806897"/>
  </r>
  <r>
    <d v="2024-04-27T00:00:00"/>
    <x v="2"/>
    <s v="Cliente Final"/>
    <x v="0"/>
    <s v="Básico"/>
    <s v="Lavarropas Semiautomático"/>
    <n v="1"/>
    <n v="2132221"/>
    <n v="1599165"/>
    <s v="San Lorenzo"/>
    <n v="2132221"/>
    <n v="1599165"/>
    <n v="533056"/>
    <n v="0.25000035174590252"/>
  </r>
  <r>
    <d v="2024-05-07T00:00:00"/>
    <x v="2"/>
    <s v="Cliente Final"/>
    <x v="0"/>
    <s v="Básico"/>
    <s v="Lavarropas Semiautomático"/>
    <n v="1"/>
    <n v="1941369"/>
    <n v="1456026"/>
    <s v="Fernando de la Mora"/>
    <n v="1941369"/>
    <n v="1456026"/>
    <n v="485343"/>
    <n v="0.2500003863253199"/>
  </r>
  <r>
    <d v="2024-03-18T00:00:00"/>
    <x v="3"/>
    <s v="Cliente Final"/>
    <x v="0"/>
    <s v="Medio"/>
    <s v="Lavarropas Automático"/>
    <n v="1"/>
    <n v="3720097"/>
    <n v="2901675"/>
    <s v="Asunción"/>
    <n v="3720097"/>
    <n v="2901675"/>
    <n v="818422"/>
    <n v="0.22000017741472871"/>
  </r>
  <r>
    <d v="2024-03-28T00:00:00"/>
    <x v="0"/>
    <s v="Cliente Final"/>
    <x v="1"/>
    <s v="Básico"/>
    <s v="Licuadora Básica"/>
    <n v="2"/>
    <n v="581256"/>
    <n v="348753"/>
    <s v="Luque"/>
    <n v="1162512"/>
    <n v="697506"/>
    <n v="465006"/>
    <n v="0.40000103224740907"/>
  </r>
  <r>
    <d v="2024-04-24T00:00:00"/>
    <x v="0"/>
    <s v="Cliente Final"/>
    <x v="0"/>
    <s v="Básico"/>
    <s v="Lavarropas Semiautomático"/>
    <n v="1"/>
    <n v="2173127"/>
    <n v="1629845"/>
    <s v="Luque"/>
    <n v="2173127"/>
    <n v="1629845"/>
    <n v="543282"/>
    <n v="0.25000011504159675"/>
  </r>
  <r>
    <d v="2024-01-07T00:00:00"/>
    <x v="0"/>
    <s v="Cliente Final"/>
    <x v="2"/>
    <s v="Medio"/>
    <s v="Smart TV 50&quot;"/>
    <n v="1"/>
    <n v="1538377"/>
    <n v="1153782"/>
    <s v="Luque"/>
    <n v="1538377"/>
    <n v="1153782"/>
    <n v="384595"/>
    <n v="0.25000048752678961"/>
  </r>
  <r>
    <d v="2024-05-28T00:00:00"/>
    <x v="0"/>
    <s v="Cliente Final"/>
    <x v="4"/>
    <s v="Premium"/>
    <s v="Split Inverter"/>
    <n v="1"/>
    <n v="7712888"/>
    <n v="6170310"/>
    <s v="Lambaré"/>
    <n v="7712888"/>
    <n v="6170310"/>
    <n v="1542578"/>
    <n v="0.20000005186124833"/>
  </r>
  <r>
    <d v="2024-01-26T00:00:00"/>
    <x v="1"/>
    <s v="Cliente Final"/>
    <x v="0"/>
    <s v="Premium"/>
    <s v="Lavarropas Inverter"/>
    <n v="1"/>
    <n v="4660909"/>
    <n v="3728727"/>
    <s v="Lambaré"/>
    <n v="4660909"/>
    <n v="3728727"/>
    <n v="932182"/>
    <n v="0.20000004291008472"/>
  </r>
  <r>
    <d v="2024-04-28T00:00:00"/>
    <x v="1"/>
    <s v="Cliente Final"/>
    <x v="3"/>
    <s v="Premium"/>
    <s v="Heladera Premium 450L"/>
    <n v="1"/>
    <n v="5630422"/>
    <n v="4504337"/>
    <s v="Fernando de la Mora"/>
    <n v="5630422"/>
    <n v="4504337"/>
    <n v="1126085"/>
    <n v="0.20000010656394848"/>
  </r>
  <r>
    <d v="2024-06-19T00:00:00"/>
    <x v="3"/>
    <s v="Cliente Final"/>
    <x v="3"/>
    <s v="Medio"/>
    <s v="Heladera Inverter 300L"/>
    <n v="1"/>
    <n v="4233817"/>
    <n v="3302377"/>
    <s v="San Lorenzo"/>
    <n v="4233817"/>
    <n v="3302377"/>
    <n v="931440"/>
    <n v="0.22000006141030659"/>
  </r>
  <r>
    <d v="2024-05-08T00:00:00"/>
    <x v="0"/>
    <s v="Cliente Final"/>
    <x v="0"/>
    <s v="Premium"/>
    <s v="Lavarropas Inverter"/>
    <n v="1"/>
    <n v="4444964"/>
    <n v="3555971"/>
    <s v="San Lorenzo"/>
    <n v="4444964"/>
    <n v="3555971"/>
    <n v="888993"/>
    <n v="0.20000004499474011"/>
  </r>
  <r>
    <d v="2024-02-26T00:00:00"/>
    <x v="0"/>
    <s v="Cliente Final"/>
    <x v="2"/>
    <s v="Medio"/>
    <s v="Smart TV 50&quot;"/>
    <n v="1"/>
    <n v="1370346"/>
    <n v="1027759"/>
    <s v="Asunción"/>
    <n v="1370346"/>
    <n v="1027759"/>
    <n v="342587"/>
    <n v="0.25000036487135363"/>
  </r>
  <r>
    <d v="2024-03-21T00:00:00"/>
    <x v="0"/>
    <s v="Cliente Final"/>
    <x v="2"/>
    <s v="Premium"/>
    <s v="Smart TV 65&quot; 4K"/>
    <n v="1"/>
    <n v="2887038"/>
    <n v="2309630"/>
    <s v="Fernando de la Mora"/>
    <n v="2887038"/>
    <n v="2309630"/>
    <n v="577408"/>
    <n v="0.20000013855030657"/>
  </r>
  <r>
    <d v="2024-03-28T00:00:00"/>
    <x v="0"/>
    <s v="Cliente Final"/>
    <x v="0"/>
    <s v="Medio"/>
    <s v="Lavarropas Automático"/>
    <n v="1"/>
    <n v="2939410"/>
    <n v="2292739"/>
    <s v="Luque"/>
    <n v="2939410"/>
    <n v="2292739"/>
    <n v="646671"/>
    <n v="0.22000027216346138"/>
  </r>
  <r>
    <d v="2024-04-04T00:00:00"/>
    <x v="0"/>
    <s v="Cliente Final"/>
    <x v="3"/>
    <s v="Premium"/>
    <s v="Heladera Premium 450L"/>
    <n v="1"/>
    <n v="7204091"/>
    <n v="5763272"/>
    <s v="Luque"/>
    <n v="7204091"/>
    <n v="5763272"/>
    <n v="1440819"/>
    <n v="0.20000011104801424"/>
  </r>
  <r>
    <d v="2024-06-03T00:00:00"/>
    <x v="2"/>
    <s v="Cliente Final"/>
    <x v="1"/>
    <s v="Medio"/>
    <s v="Cafetera Eléctrica"/>
    <n v="3"/>
    <n v="1059177"/>
    <n v="688465"/>
    <s v="San Lorenzo"/>
    <n v="3177531"/>
    <n v="2065395"/>
    <n v="1112136"/>
    <n v="0.35000004720646311"/>
  </r>
  <r>
    <d v="2024-05-25T00:00:00"/>
    <x v="2"/>
    <s v="Cliente Final"/>
    <x v="2"/>
    <s v="Básico"/>
    <s v="TV LED 32&quot;"/>
    <n v="1"/>
    <n v="1206574"/>
    <n v="844601"/>
    <s v="Luque"/>
    <n v="1206574"/>
    <n v="844601"/>
    <n v="361973"/>
    <n v="0.30000066303434353"/>
  </r>
  <r>
    <d v="2024-01-05T00:00:00"/>
    <x v="2"/>
    <s v="Cliente Final"/>
    <x v="1"/>
    <s v="Medio"/>
    <s v="Cafetera Eléctrica"/>
    <n v="3"/>
    <n v="1087826"/>
    <n v="707086"/>
    <s v="Fernando de la Mora"/>
    <n v="3263478"/>
    <n v="2121258"/>
    <n v="1142220"/>
    <n v="0.35000082733819565"/>
  </r>
  <r>
    <d v="2024-05-08T00:00:00"/>
    <x v="2"/>
    <s v="Cliente Final"/>
    <x v="2"/>
    <s v="Premium"/>
    <s v="Smart TV 65&quot; 4K"/>
    <n v="1"/>
    <n v="2865798"/>
    <n v="2292638"/>
    <s v="Asunción"/>
    <n v="2865798"/>
    <n v="2292638"/>
    <n v="573160"/>
    <n v="0.20000013957717885"/>
  </r>
  <r>
    <d v="2024-04-10T00:00:00"/>
    <x v="1"/>
    <s v="Cliente Final"/>
    <x v="2"/>
    <s v="Premium"/>
    <s v="Smart TV 65&quot; 4K"/>
    <n v="1"/>
    <n v="2179820"/>
    <n v="1743856"/>
    <s v="Asunción"/>
    <n v="2179820"/>
    <n v="1743856"/>
    <n v="435964"/>
    <n v="0.2"/>
  </r>
  <r>
    <d v="2024-06-08T00:00:00"/>
    <x v="2"/>
    <s v="Cliente Final"/>
    <x v="0"/>
    <s v="Premium"/>
    <s v="Lavarropas Inverter"/>
    <n v="1"/>
    <n v="4705138"/>
    <n v="3764110"/>
    <s v="Asunción"/>
    <n v="4705138"/>
    <n v="3764110"/>
    <n v="941028"/>
    <n v="0.200000085013447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ACFDD-458A-4B76-9EEB-0D2FFBBFFCE4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4">
    <pivotField numFmtId="14" showAll="0"/>
    <pivotField showAll="0"/>
    <pivotField showAll="0"/>
    <pivotField axis="axisRow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showAll="0"/>
    <pivotField dataField="1" numFmtId="164" showAll="0"/>
    <pivotField numFmtId="164" showAll="0"/>
    <pivotField numFmtId="164" showAll="0"/>
    <pivotField numFmtId="165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enta_total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CAA9F-BEDA-480F-86AE-D513590C9D77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13:E18" firstHeaderRow="1" firstDataRow="1" firstDataCol="1"/>
  <pivotFields count="14">
    <pivotField numFmtId="14"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numFmtId="164" showAll="0"/>
    <pivotField numFmtId="164" showAll="0"/>
    <pivotField dataField="1" numFmtId="164" showAll="0"/>
    <pivotField numFmtId="165" showAll="0"/>
  </pivotFields>
  <rowFields count="1">
    <field x="1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a de margen" fld="1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E6388-3A35-4CD2-BFB4-AE0755D7D0C6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8" firstHeaderRow="1" firstDataRow="1" firstDataCol="1"/>
  <pivotFields count="14">
    <pivotField numFmtId="14"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4"/>
        <item x="3"/>
        <item x="0"/>
        <item x="1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showAll="0"/>
    <pivotField dataField="1" numFmtId="164" showAll="0"/>
    <pivotField numFmtId="164" showAll="0"/>
    <pivotField numFmtId="164" showAll="0"/>
    <pivotField numFmtId="165" showAll="0"/>
  </pivotFields>
  <rowFields count="1">
    <field x="1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a de venta_total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2B7BD0-A7F0-42BF-ACC8-3B6D71803543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B19" firstHeaderRow="1" firstDataRow="1" firstDataCol="1"/>
  <pivotFields count="14">
    <pivotField numFmtId="14" showAll="0"/>
    <pivotField showAll="0"/>
    <pivotField showAll="0"/>
    <pivotField axis="axisRow" showAll="0" sortType="descending">
      <items count="6">
        <item x="4"/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numFmtId="164" showAll="0"/>
    <pivotField showAll="0"/>
    <pivotField numFmtId="164" showAll="0"/>
    <pivotField numFmtId="164" showAll="0"/>
    <pivotField numFmtId="164" showAll="0"/>
    <pivotField dataField="1" numFmtId="165" showAll="0"/>
  </pivotFields>
  <rowFields count="1">
    <field x="3"/>
  </rowFields>
  <rowItems count="6">
    <i>
      <x v="3"/>
    </i>
    <i>
      <x v="4"/>
    </i>
    <i>
      <x/>
    </i>
    <i>
      <x v="2"/>
    </i>
    <i>
      <x v="1"/>
    </i>
    <i t="grand">
      <x/>
    </i>
  </rowItems>
  <colItems count="1">
    <i/>
  </colItems>
  <dataFields count="1">
    <dataField name="Promedio de margen_%" fld="13" subtotal="average" baseField="3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82224-443A-4030-8A35-4EB5E38A81AE}" name="Tabla1" displayName="Tabla1" ref="A1:N851" totalsRowShown="0">
  <autoFilter ref="A1:N851" xr:uid="{5AB82224-443A-4030-8A35-4EB5E38A81AE}"/>
  <tableColumns count="14">
    <tableColumn id="1" xr3:uid="{89C71DAA-32E6-46AC-8B4C-6B1EDA6DBEF4}" name="fecha" dataDxfId="6"/>
    <tableColumn id="2" xr3:uid="{C2A37834-9BC7-45BF-AB14-4F6EF88FDC6A}" name="vendedor"/>
    <tableColumn id="3" xr3:uid="{522F3755-2DE9-4109-82FD-A7A1F9158DAD}" name="cliente"/>
    <tableColumn id="4" xr3:uid="{E9A77A4B-5E37-466E-B4AB-94AEF2361372}" name="categoria"/>
    <tableColumn id="5" xr3:uid="{DA89603D-7212-4BBD-8C67-A2759D9A2FF9}" name="nivel_producto"/>
    <tableColumn id="6" xr3:uid="{49B1B5BE-4602-4E46-9DAF-F5A4C9BC7F3A}" name="producto"/>
    <tableColumn id="7" xr3:uid="{9BFCF0F7-B489-4738-B118-9D4DABC2EA73}" name="cantidad"/>
    <tableColumn id="8" xr3:uid="{634741F1-3A2C-45A4-92A1-E8F58993C854}" name="precio_unitario" dataDxfId="5"/>
    <tableColumn id="9" xr3:uid="{B62EBA62-89EE-4E7F-A1E5-A93EB35CBB79}" name="costo_unitario" dataDxfId="4"/>
    <tableColumn id="10" xr3:uid="{52C62DBD-E8EC-4934-8B75-DB38D788D210}" name="ciudad"/>
    <tableColumn id="11" xr3:uid="{84C61854-1D2D-4C0F-9DA7-10220F7FF0EB}" name="venta_total" dataDxfId="3">
      <calculatedColumnFormula>Tabla1[[#This Row],[cantidad]]*Tabla1[[#This Row],[precio_unitario]]</calculatedColumnFormula>
    </tableColumn>
    <tableColumn id="12" xr3:uid="{67C0F542-9DE3-46A5-9AD2-459D51554302}" name="costo_total" dataDxfId="2">
      <calculatedColumnFormula>Tabla1[[#This Row],[cantidad]]*Tabla1[[#This Row],[costo_unitario]]</calculatedColumnFormula>
    </tableColumn>
    <tableColumn id="13" xr3:uid="{DF0889E8-C622-4BCC-8AB6-7A0AEF48F445}" name="margen" dataDxfId="1">
      <calculatedColumnFormula>Tabla1[[#This Row],[venta_total]]-Tabla1[[#This Row],[costo_total]]</calculatedColumnFormula>
    </tableColumn>
    <tableColumn id="14" xr3:uid="{3B45E05D-CDFC-4BC4-8BF0-817409852167}" name="margen_%" dataDxfId="0" dataCellStyle="Porcentaje">
      <calculatedColumnFormula>Tabla1[[#This Row],[margen]]/Tabla1[[#This Row],[venta_total]]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EC3E-77C2-45DC-88BC-27530832CD90}">
  <dimension ref="A3:E19"/>
  <sheetViews>
    <sheetView tabSelected="1" workbookViewId="0">
      <selection activeCell="I6" sqref="I6"/>
    </sheetView>
  </sheetViews>
  <sheetFormatPr baseColWidth="10" defaultRowHeight="15" x14ac:dyDescent="0.25"/>
  <cols>
    <col min="1" max="1" width="27.140625" bestFit="1" customWidth="1"/>
    <col min="2" max="2" width="22.42578125" bestFit="1" customWidth="1"/>
    <col min="4" max="4" width="17.5703125" bestFit="1" customWidth="1"/>
    <col min="5" max="5" width="19.28515625" bestFit="1" customWidth="1"/>
  </cols>
  <sheetData>
    <row r="3" spans="1:5" x14ac:dyDescent="0.25">
      <c r="A3" s="4" t="s">
        <v>47</v>
      </c>
      <c r="B3" t="s">
        <v>49</v>
      </c>
      <c r="D3" s="4" t="s">
        <v>47</v>
      </c>
      <c r="E3" t="s">
        <v>49</v>
      </c>
    </row>
    <row r="4" spans="1:5" x14ac:dyDescent="0.25">
      <c r="A4" s="5" t="s">
        <v>38</v>
      </c>
      <c r="B4" s="1">
        <v>838909452</v>
      </c>
      <c r="D4" s="5" t="s">
        <v>18</v>
      </c>
      <c r="E4" s="1">
        <v>762585124</v>
      </c>
    </row>
    <row r="5" spans="1:5" x14ac:dyDescent="0.25">
      <c r="A5" s="5" t="s">
        <v>26</v>
      </c>
      <c r="B5" s="1">
        <v>687482596</v>
      </c>
      <c r="D5" s="5" t="s">
        <v>10</v>
      </c>
      <c r="E5" s="1">
        <v>691889352</v>
      </c>
    </row>
    <row r="6" spans="1:5" x14ac:dyDescent="0.25">
      <c r="A6" s="5" t="s">
        <v>12</v>
      </c>
      <c r="B6" s="1">
        <v>621827178</v>
      </c>
      <c r="D6" s="5" t="s">
        <v>32</v>
      </c>
      <c r="E6" s="1">
        <v>688575613</v>
      </c>
    </row>
    <row r="7" spans="1:5" x14ac:dyDescent="0.25">
      <c r="A7" s="5" t="s">
        <v>19</v>
      </c>
      <c r="B7" s="1">
        <v>322560944</v>
      </c>
      <c r="D7" s="5" t="s">
        <v>34</v>
      </c>
      <c r="E7" s="1">
        <v>606350356</v>
      </c>
    </row>
    <row r="8" spans="1:5" x14ac:dyDescent="0.25">
      <c r="A8" s="5" t="s">
        <v>23</v>
      </c>
      <c r="B8" s="1">
        <v>278620275</v>
      </c>
      <c r="D8" s="5" t="s">
        <v>48</v>
      </c>
      <c r="E8" s="1">
        <v>2749400445</v>
      </c>
    </row>
    <row r="9" spans="1:5" x14ac:dyDescent="0.25">
      <c r="A9" s="5" t="s">
        <v>48</v>
      </c>
      <c r="B9" s="1">
        <v>2749400445</v>
      </c>
    </row>
    <row r="13" spans="1:5" x14ac:dyDescent="0.25">
      <c r="A13" s="4" t="s">
        <v>47</v>
      </c>
      <c r="B13" t="s">
        <v>50</v>
      </c>
      <c r="D13" s="4" t="s">
        <v>47</v>
      </c>
      <c r="E13" t="s">
        <v>51</v>
      </c>
    </row>
    <row r="14" spans="1:5" x14ac:dyDescent="0.25">
      <c r="A14" s="5" t="s">
        <v>19</v>
      </c>
      <c r="B14" s="6">
        <v>0.35142110299555029</v>
      </c>
      <c r="D14" s="5" t="s">
        <v>18</v>
      </c>
      <c r="E14" s="1">
        <v>179942079</v>
      </c>
    </row>
    <row r="15" spans="1:5" x14ac:dyDescent="0.25">
      <c r="A15" s="5" t="s">
        <v>23</v>
      </c>
      <c r="B15" s="6">
        <v>0.25316484168288267</v>
      </c>
      <c r="D15" s="5" t="s">
        <v>10</v>
      </c>
      <c r="E15" s="1">
        <v>164979937</v>
      </c>
    </row>
    <row r="16" spans="1:5" x14ac:dyDescent="0.25">
      <c r="A16" s="5" t="s">
        <v>38</v>
      </c>
      <c r="B16" s="6">
        <v>0.24647738220053786</v>
      </c>
      <c r="D16" s="5" t="s">
        <v>32</v>
      </c>
      <c r="E16" s="1">
        <v>163845973</v>
      </c>
    </row>
    <row r="17" spans="1:5" x14ac:dyDescent="0.25">
      <c r="A17" s="5" t="s">
        <v>12</v>
      </c>
      <c r="B17" s="6">
        <v>0.22497339898838592</v>
      </c>
      <c r="D17" s="5" t="s">
        <v>34</v>
      </c>
      <c r="E17" s="1">
        <v>146043995</v>
      </c>
    </row>
    <row r="18" spans="1:5" x14ac:dyDescent="0.25">
      <c r="A18" s="5" t="s">
        <v>26</v>
      </c>
      <c r="B18" s="6">
        <v>0.22470599478136769</v>
      </c>
      <c r="D18" s="5" t="s">
        <v>48</v>
      </c>
      <c r="E18" s="1">
        <v>654811984</v>
      </c>
    </row>
    <row r="19" spans="1:5" x14ac:dyDescent="0.25">
      <c r="A19" s="5" t="s">
        <v>48</v>
      </c>
      <c r="B19" s="6">
        <v>0.26080026022680541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1"/>
  <sheetViews>
    <sheetView topLeftCell="A2" zoomScale="90" zoomScaleNormal="90" workbookViewId="0">
      <selection activeCell="D80" sqref="D80"/>
    </sheetView>
  </sheetViews>
  <sheetFormatPr baseColWidth="10" defaultColWidth="9.140625" defaultRowHeight="15" x14ac:dyDescent="0.25"/>
  <cols>
    <col min="1" max="1" width="11.28515625" bestFit="1" customWidth="1"/>
    <col min="2" max="2" width="11.85546875" bestFit="1" customWidth="1"/>
    <col min="3" max="3" width="12.140625" bestFit="1" customWidth="1"/>
    <col min="4" max="4" width="27.140625" bestFit="1" customWidth="1"/>
    <col min="5" max="5" width="16.7109375" bestFit="1" customWidth="1"/>
    <col min="6" max="6" width="25.5703125" bestFit="1" customWidth="1"/>
    <col min="7" max="7" width="10.85546875" bestFit="1" customWidth="1"/>
    <col min="8" max="8" width="16.85546875" style="1" bestFit="1" customWidth="1"/>
    <col min="9" max="9" width="16" style="1" bestFit="1" customWidth="1"/>
    <col min="10" max="10" width="19.28515625" bestFit="1" customWidth="1"/>
    <col min="11" max="11" width="13.42578125" bestFit="1" customWidth="1"/>
    <col min="12" max="12" width="13.140625" bestFit="1" customWidth="1"/>
    <col min="13" max="13" width="12.140625" bestFit="1" customWidth="1"/>
    <col min="14" max="14" width="12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43</v>
      </c>
      <c r="L1" t="s">
        <v>44</v>
      </c>
      <c r="M1" t="s">
        <v>45</v>
      </c>
      <c r="N1" t="s">
        <v>46</v>
      </c>
    </row>
    <row r="2" spans="1:14" x14ac:dyDescent="0.25">
      <c r="A2" s="2">
        <v>45306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s="1">
        <v>4377649</v>
      </c>
      <c r="I2" s="1">
        <v>3502119</v>
      </c>
      <c r="J2" t="s">
        <v>15</v>
      </c>
      <c r="K2" s="1">
        <f>Tabla1[[#This Row],[cantidad]]*Tabla1[[#This Row],[precio_unitario]]</f>
        <v>4377649</v>
      </c>
      <c r="L2" s="1">
        <f>Tabla1[[#This Row],[cantidad]]*Tabla1[[#This Row],[costo_unitario]]</f>
        <v>3502119</v>
      </c>
      <c r="M2" s="1">
        <f>Tabla1[[#This Row],[venta_total]]-Tabla1[[#This Row],[costo_total]]</f>
        <v>875530</v>
      </c>
      <c r="N2" s="3">
        <f>Tabla1[[#This Row],[margen]]/Tabla1[[#This Row],[venta_total]]</f>
        <v>0.20000004568662311</v>
      </c>
    </row>
    <row r="3" spans="1:14" x14ac:dyDescent="0.25">
      <c r="A3" s="2">
        <v>45466</v>
      </c>
      <c r="B3" t="s">
        <v>10</v>
      </c>
      <c r="C3" t="s">
        <v>11</v>
      </c>
      <c r="D3" t="s">
        <v>12</v>
      </c>
      <c r="E3" t="s">
        <v>16</v>
      </c>
      <c r="F3" t="s">
        <v>17</v>
      </c>
      <c r="G3">
        <v>1</v>
      </c>
      <c r="H3" s="1">
        <v>3678354</v>
      </c>
      <c r="I3" s="1">
        <v>2869116</v>
      </c>
      <c r="J3" t="s">
        <v>15</v>
      </c>
      <c r="K3" s="1">
        <f>Tabla1[[#This Row],[cantidad]]*Tabla1[[#This Row],[precio_unitario]]</f>
        <v>3678354</v>
      </c>
      <c r="L3" s="1">
        <f>Tabla1[[#This Row],[cantidad]]*Tabla1[[#This Row],[costo_unitario]]</f>
        <v>2869116</v>
      </c>
      <c r="M3" s="1">
        <f>Tabla1[[#This Row],[venta_total]]-Tabla1[[#This Row],[costo_total]]</f>
        <v>809238</v>
      </c>
      <c r="N3" s="3">
        <f>Tabla1[[#This Row],[margen]]/Tabla1[[#This Row],[venta_total]]</f>
        <v>0.22000003262328749</v>
      </c>
    </row>
    <row r="4" spans="1:14" x14ac:dyDescent="0.25">
      <c r="A4" s="2">
        <v>45401</v>
      </c>
      <c r="B4" t="s">
        <v>18</v>
      </c>
      <c r="C4" t="s">
        <v>11</v>
      </c>
      <c r="D4" t="s">
        <v>19</v>
      </c>
      <c r="E4" t="s">
        <v>20</v>
      </c>
      <c r="F4" t="s">
        <v>21</v>
      </c>
      <c r="G4">
        <v>2</v>
      </c>
      <c r="H4" s="1">
        <v>323427</v>
      </c>
      <c r="I4" s="1">
        <v>194056</v>
      </c>
      <c r="J4" t="s">
        <v>22</v>
      </c>
      <c r="K4" s="1">
        <f>Tabla1[[#This Row],[cantidad]]*Tabla1[[#This Row],[precio_unitario]]</f>
        <v>646854</v>
      </c>
      <c r="L4" s="1">
        <f>Tabla1[[#This Row],[cantidad]]*Tabla1[[#This Row],[costo_unitario]]</f>
        <v>388112</v>
      </c>
      <c r="M4" s="1">
        <f>Tabla1[[#This Row],[venta_total]]-Tabla1[[#This Row],[costo_total]]</f>
        <v>258742</v>
      </c>
      <c r="N4" s="3">
        <f>Tabla1[[#This Row],[margen]]/Tabla1[[#This Row],[venta_total]]</f>
        <v>0.40000061837756279</v>
      </c>
    </row>
    <row r="5" spans="1:14" x14ac:dyDescent="0.25">
      <c r="A5" s="2">
        <v>45293</v>
      </c>
      <c r="B5" t="s">
        <v>10</v>
      </c>
      <c r="C5" t="s">
        <v>11</v>
      </c>
      <c r="D5" t="s">
        <v>23</v>
      </c>
      <c r="E5" t="s">
        <v>16</v>
      </c>
      <c r="F5" t="s">
        <v>24</v>
      </c>
      <c r="G5">
        <v>1</v>
      </c>
      <c r="H5" s="1">
        <v>1768963</v>
      </c>
      <c r="I5" s="1">
        <v>1326722</v>
      </c>
      <c r="J5" t="s">
        <v>25</v>
      </c>
      <c r="K5" s="1">
        <f>Tabla1[[#This Row],[cantidad]]*Tabla1[[#This Row],[precio_unitario]]</f>
        <v>1768963</v>
      </c>
      <c r="L5" s="1">
        <f>Tabla1[[#This Row],[cantidad]]*Tabla1[[#This Row],[costo_unitario]]</f>
        <v>1326722</v>
      </c>
      <c r="M5" s="1">
        <f>Tabla1[[#This Row],[venta_total]]-Tabla1[[#This Row],[costo_total]]</f>
        <v>442241</v>
      </c>
      <c r="N5" s="3">
        <f>Tabla1[[#This Row],[margen]]/Tabla1[[#This Row],[venta_total]]</f>
        <v>0.25000014132573717</v>
      </c>
    </row>
    <row r="6" spans="1:14" x14ac:dyDescent="0.25">
      <c r="A6" s="2">
        <v>45378</v>
      </c>
      <c r="B6" t="s">
        <v>18</v>
      </c>
      <c r="C6" t="s">
        <v>11</v>
      </c>
      <c r="D6" t="s">
        <v>12</v>
      </c>
      <c r="E6" t="s">
        <v>13</v>
      </c>
      <c r="F6" t="s">
        <v>14</v>
      </c>
      <c r="G6">
        <v>1</v>
      </c>
      <c r="H6" s="1">
        <v>4567415</v>
      </c>
      <c r="I6" s="1">
        <v>3653932</v>
      </c>
      <c r="J6" t="s">
        <v>15</v>
      </c>
      <c r="K6" s="1">
        <f>Tabla1[[#This Row],[cantidad]]*Tabla1[[#This Row],[precio_unitario]]</f>
        <v>4567415</v>
      </c>
      <c r="L6" s="1">
        <f>Tabla1[[#This Row],[cantidad]]*Tabla1[[#This Row],[costo_unitario]]</f>
        <v>3653932</v>
      </c>
      <c r="M6" s="1">
        <f>Tabla1[[#This Row],[venta_total]]-Tabla1[[#This Row],[costo_total]]</f>
        <v>913483</v>
      </c>
      <c r="N6" s="3">
        <f>Tabla1[[#This Row],[margen]]/Tabla1[[#This Row],[venta_total]]</f>
        <v>0.2</v>
      </c>
    </row>
    <row r="7" spans="1:14" x14ac:dyDescent="0.25">
      <c r="A7" s="2">
        <v>45392</v>
      </c>
      <c r="B7" t="s">
        <v>10</v>
      </c>
      <c r="C7" t="s">
        <v>11</v>
      </c>
      <c r="D7" t="s">
        <v>26</v>
      </c>
      <c r="E7" t="s">
        <v>13</v>
      </c>
      <c r="F7" t="s">
        <v>27</v>
      </c>
      <c r="G7">
        <v>1</v>
      </c>
      <c r="H7" s="1">
        <v>8630046</v>
      </c>
      <c r="I7" s="1">
        <v>6904036</v>
      </c>
      <c r="J7" t="s">
        <v>22</v>
      </c>
      <c r="K7" s="1">
        <f>Tabla1[[#This Row],[cantidad]]*Tabla1[[#This Row],[precio_unitario]]</f>
        <v>8630046</v>
      </c>
      <c r="L7" s="1">
        <f>Tabla1[[#This Row],[cantidad]]*Tabla1[[#This Row],[costo_unitario]]</f>
        <v>6904036</v>
      </c>
      <c r="M7" s="1">
        <f>Tabla1[[#This Row],[venta_total]]-Tabla1[[#This Row],[costo_total]]</f>
        <v>1726010</v>
      </c>
      <c r="N7" s="3">
        <f>Tabla1[[#This Row],[margen]]/Tabla1[[#This Row],[venta_total]]</f>
        <v>0.20000009269939001</v>
      </c>
    </row>
    <row r="8" spans="1:14" x14ac:dyDescent="0.25">
      <c r="A8" s="2">
        <v>45413</v>
      </c>
      <c r="B8" t="s">
        <v>10</v>
      </c>
      <c r="C8" t="s">
        <v>11</v>
      </c>
      <c r="D8" t="s">
        <v>23</v>
      </c>
      <c r="E8" t="s">
        <v>13</v>
      </c>
      <c r="F8" t="s">
        <v>28</v>
      </c>
      <c r="G8">
        <v>1</v>
      </c>
      <c r="H8" s="1">
        <v>2273453</v>
      </c>
      <c r="I8" s="1">
        <v>1818762</v>
      </c>
      <c r="J8" t="s">
        <v>29</v>
      </c>
      <c r="K8" s="1">
        <f>Tabla1[[#This Row],[cantidad]]*Tabla1[[#This Row],[precio_unitario]]</f>
        <v>2273453</v>
      </c>
      <c r="L8" s="1">
        <f>Tabla1[[#This Row],[cantidad]]*Tabla1[[#This Row],[costo_unitario]]</f>
        <v>1818762</v>
      </c>
      <c r="M8" s="1">
        <f>Tabla1[[#This Row],[venta_total]]-Tabla1[[#This Row],[costo_total]]</f>
        <v>454691</v>
      </c>
      <c r="N8" s="3">
        <f>Tabla1[[#This Row],[margen]]/Tabla1[[#This Row],[venta_total]]</f>
        <v>0.20000017594381761</v>
      </c>
    </row>
    <row r="9" spans="1:14" x14ac:dyDescent="0.25">
      <c r="A9" s="2">
        <v>45398</v>
      </c>
      <c r="B9" t="s">
        <v>18</v>
      </c>
      <c r="C9" t="s">
        <v>11</v>
      </c>
      <c r="D9" t="s">
        <v>23</v>
      </c>
      <c r="E9" t="s">
        <v>20</v>
      </c>
      <c r="F9" t="s">
        <v>30</v>
      </c>
      <c r="G9">
        <v>1</v>
      </c>
      <c r="H9" s="1">
        <v>874293</v>
      </c>
      <c r="I9" s="1">
        <v>612005</v>
      </c>
      <c r="J9" t="s">
        <v>29</v>
      </c>
      <c r="K9" s="1">
        <f>Tabla1[[#This Row],[cantidad]]*Tabla1[[#This Row],[precio_unitario]]</f>
        <v>874293</v>
      </c>
      <c r="L9" s="1">
        <f>Tabla1[[#This Row],[cantidad]]*Tabla1[[#This Row],[costo_unitario]]</f>
        <v>612005</v>
      </c>
      <c r="M9" s="1">
        <f>Tabla1[[#This Row],[venta_total]]-Tabla1[[#This Row],[costo_total]]</f>
        <v>262288</v>
      </c>
      <c r="N9" s="3">
        <f>Tabla1[[#This Row],[margen]]/Tabla1[[#This Row],[venta_total]]</f>
        <v>0.30000011437813184</v>
      </c>
    </row>
    <row r="10" spans="1:14" x14ac:dyDescent="0.25">
      <c r="A10" s="2">
        <v>45465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>
        <v>1</v>
      </c>
      <c r="H10" s="1">
        <v>5197633</v>
      </c>
      <c r="I10" s="1">
        <v>4158106</v>
      </c>
      <c r="J10" t="s">
        <v>22</v>
      </c>
      <c r="K10" s="1">
        <f>Tabla1[[#This Row],[cantidad]]*Tabla1[[#This Row],[precio_unitario]]</f>
        <v>5197633</v>
      </c>
      <c r="L10" s="1">
        <f>Tabla1[[#This Row],[cantidad]]*Tabla1[[#This Row],[costo_unitario]]</f>
        <v>4158106</v>
      </c>
      <c r="M10" s="1">
        <f>Tabla1[[#This Row],[venta_total]]-Tabla1[[#This Row],[costo_total]]</f>
        <v>1039527</v>
      </c>
      <c r="N10" s="3">
        <f>Tabla1[[#This Row],[margen]]/Tabla1[[#This Row],[venta_total]]</f>
        <v>0.20000007695810768</v>
      </c>
    </row>
    <row r="11" spans="1:14" x14ac:dyDescent="0.25">
      <c r="A11" s="2">
        <v>45443</v>
      </c>
      <c r="B11" t="s">
        <v>10</v>
      </c>
      <c r="C11" t="s">
        <v>11</v>
      </c>
      <c r="D11" t="s">
        <v>23</v>
      </c>
      <c r="E11" t="s">
        <v>16</v>
      </c>
      <c r="F11" t="s">
        <v>24</v>
      </c>
      <c r="G11">
        <v>1</v>
      </c>
      <c r="H11" s="1">
        <v>1814898</v>
      </c>
      <c r="I11" s="1">
        <v>1361173</v>
      </c>
      <c r="J11" t="s">
        <v>22</v>
      </c>
      <c r="K11" s="1">
        <f>Tabla1[[#This Row],[cantidad]]*Tabla1[[#This Row],[precio_unitario]]</f>
        <v>1814898</v>
      </c>
      <c r="L11" s="1">
        <f>Tabla1[[#This Row],[cantidad]]*Tabla1[[#This Row],[costo_unitario]]</f>
        <v>1361173</v>
      </c>
      <c r="M11" s="1">
        <f>Tabla1[[#This Row],[venta_total]]-Tabla1[[#This Row],[costo_total]]</f>
        <v>453725</v>
      </c>
      <c r="N11" s="3">
        <f>Tabla1[[#This Row],[margen]]/Tabla1[[#This Row],[venta_total]]</f>
        <v>0.2500002754975762</v>
      </c>
    </row>
    <row r="12" spans="1:14" x14ac:dyDescent="0.25">
      <c r="A12" s="2">
        <v>45346</v>
      </c>
      <c r="B12" t="s">
        <v>18</v>
      </c>
      <c r="C12" t="s">
        <v>11</v>
      </c>
      <c r="D12" t="s">
        <v>23</v>
      </c>
      <c r="E12" t="s">
        <v>13</v>
      </c>
      <c r="F12" t="s">
        <v>28</v>
      </c>
      <c r="G12">
        <v>1</v>
      </c>
      <c r="H12" s="1">
        <v>2309490</v>
      </c>
      <c r="I12" s="1">
        <v>1847592</v>
      </c>
      <c r="J12" t="s">
        <v>31</v>
      </c>
      <c r="K12" s="1">
        <f>Tabla1[[#This Row],[cantidad]]*Tabla1[[#This Row],[precio_unitario]]</f>
        <v>2309490</v>
      </c>
      <c r="L12" s="1">
        <f>Tabla1[[#This Row],[cantidad]]*Tabla1[[#This Row],[costo_unitario]]</f>
        <v>1847592</v>
      </c>
      <c r="M12" s="1">
        <f>Tabla1[[#This Row],[venta_total]]-Tabla1[[#This Row],[costo_total]]</f>
        <v>461898</v>
      </c>
      <c r="N12" s="3">
        <f>Tabla1[[#This Row],[margen]]/Tabla1[[#This Row],[venta_total]]</f>
        <v>0.2</v>
      </c>
    </row>
    <row r="13" spans="1:14" x14ac:dyDescent="0.25">
      <c r="A13" s="2">
        <v>45419</v>
      </c>
      <c r="B13" t="s">
        <v>18</v>
      </c>
      <c r="C13" t="s">
        <v>11</v>
      </c>
      <c r="D13" t="s">
        <v>12</v>
      </c>
      <c r="E13" t="s">
        <v>13</v>
      </c>
      <c r="F13" t="s">
        <v>14</v>
      </c>
      <c r="G13">
        <v>1</v>
      </c>
      <c r="H13" s="1">
        <v>4180389</v>
      </c>
      <c r="I13" s="1">
        <v>3344311</v>
      </c>
      <c r="J13" t="s">
        <v>31</v>
      </c>
      <c r="K13" s="1">
        <f>Tabla1[[#This Row],[cantidad]]*Tabla1[[#This Row],[precio_unitario]]</f>
        <v>4180389</v>
      </c>
      <c r="L13" s="1">
        <f>Tabla1[[#This Row],[cantidad]]*Tabla1[[#This Row],[costo_unitario]]</f>
        <v>3344311</v>
      </c>
      <c r="M13" s="1">
        <f>Tabla1[[#This Row],[venta_total]]-Tabla1[[#This Row],[costo_total]]</f>
        <v>836078</v>
      </c>
      <c r="N13" s="3">
        <f>Tabla1[[#This Row],[margen]]/Tabla1[[#This Row],[venta_total]]</f>
        <v>0.20000004784243763</v>
      </c>
    </row>
    <row r="14" spans="1:14" x14ac:dyDescent="0.25">
      <c r="A14" s="2">
        <v>45410</v>
      </c>
      <c r="B14" t="s">
        <v>32</v>
      </c>
      <c r="C14" t="s">
        <v>11</v>
      </c>
      <c r="D14" t="s">
        <v>23</v>
      </c>
      <c r="E14" t="s">
        <v>16</v>
      </c>
      <c r="F14" t="s">
        <v>24</v>
      </c>
      <c r="G14">
        <v>1</v>
      </c>
      <c r="H14" s="1">
        <v>1374630</v>
      </c>
      <c r="I14" s="1">
        <v>1030972</v>
      </c>
      <c r="J14" t="s">
        <v>22</v>
      </c>
      <c r="K14" s="1">
        <f>Tabla1[[#This Row],[cantidad]]*Tabla1[[#This Row],[precio_unitario]]</f>
        <v>1374630</v>
      </c>
      <c r="L14" s="1">
        <f>Tabla1[[#This Row],[cantidad]]*Tabla1[[#This Row],[costo_unitario]]</f>
        <v>1030972</v>
      </c>
      <c r="M14" s="1">
        <f>Tabla1[[#This Row],[venta_total]]-Tabla1[[#This Row],[costo_total]]</f>
        <v>343658</v>
      </c>
      <c r="N14" s="3">
        <f>Tabla1[[#This Row],[margen]]/Tabla1[[#This Row],[venta_total]]</f>
        <v>0.25000036373424123</v>
      </c>
    </row>
    <row r="15" spans="1:14" x14ac:dyDescent="0.25">
      <c r="A15" s="2">
        <v>45454</v>
      </c>
      <c r="B15" t="s">
        <v>18</v>
      </c>
      <c r="C15" t="s">
        <v>11</v>
      </c>
      <c r="D15" t="s">
        <v>19</v>
      </c>
      <c r="E15" t="s">
        <v>20</v>
      </c>
      <c r="F15" t="s">
        <v>21</v>
      </c>
      <c r="G15">
        <v>2</v>
      </c>
      <c r="H15" s="1">
        <v>268157</v>
      </c>
      <c r="I15" s="1">
        <v>160894</v>
      </c>
      <c r="J15" t="s">
        <v>29</v>
      </c>
      <c r="K15" s="1">
        <f>Tabla1[[#This Row],[cantidad]]*Tabla1[[#This Row],[precio_unitario]]</f>
        <v>536314</v>
      </c>
      <c r="L15" s="1">
        <f>Tabla1[[#This Row],[cantidad]]*Tabla1[[#This Row],[costo_unitario]]</f>
        <v>321788</v>
      </c>
      <c r="M15" s="1">
        <f>Tabla1[[#This Row],[venta_total]]-Tabla1[[#This Row],[costo_total]]</f>
        <v>214526</v>
      </c>
      <c r="N15" s="3">
        <f>Tabla1[[#This Row],[margen]]/Tabla1[[#This Row],[venta_total]]</f>
        <v>0.4000007458317329</v>
      </c>
    </row>
    <row r="16" spans="1:14" x14ac:dyDescent="0.25">
      <c r="A16" s="2">
        <v>45394</v>
      </c>
      <c r="B16" t="s">
        <v>18</v>
      </c>
      <c r="C16" t="s">
        <v>11</v>
      </c>
      <c r="D16" t="s">
        <v>19</v>
      </c>
      <c r="E16" t="s">
        <v>13</v>
      </c>
      <c r="F16" t="s">
        <v>33</v>
      </c>
      <c r="G16">
        <v>2</v>
      </c>
      <c r="H16" s="1">
        <v>1548544</v>
      </c>
      <c r="I16" s="1">
        <v>1083980</v>
      </c>
      <c r="J16" t="s">
        <v>15</v>
      </c>
      <c r="K16" s="1">
        <f>Tabla1[[#This Row],[cantidad]]*Tabla1[[#This Row],[precio_unitario]]</f>
        <v>3097088</v>
      </c>
      <c r="L16" s="1">
        <f>Tabla1[[#This Row],[cantidad]]*Tabla1[[#This Row],[costo_unitario]]</f>
        <v>2167960</v>
      </c>
      <c r="M16" s="1">
        <f>Tabla1[[#This Row],[venta_total]]-Tabla1[[#This Row],[costo_total]]</f>
        <v>929128</v>
      </c>
      <c r="N16" s="3">
        <f>Tabla1[[#This Row],[margen]]/Tabla1[[#This Row],[venta_total]]</f>
        <v>0.30000051661431643</v>
      </c>
    </row>
    <row r="17" spans="1:14" x14ac:dyDescent="0.25">
      <c r="A17" s="2">
        <v>45457</v>
      </c>
      <c r="B17" t="s">
        <v>32</v>
      </c>
      <c r="C17" t="s">
        <v>11</v>
      </c>
      <c r="D17" t="s">
        <v>12</v>
      </c>
      <c r="E17" t="s">
        <v>16</v>
      </c>
      <c r="F17" t="s">
        <v>17</v>
      </c>
      <c r="G17">
        <v>1</v>
      </c>
      <c r="H17" s="1">
        <v>2915568</v>
      </c>
      <c r="I17" s="1">
        <v>2274143</v>
      </c>
      <c r="J17" t="s">
        <v>29</v>
      </c>
      <c r="K17" s="1">
        <f>Tabla1[[#This Row],[cantidad]]*Tabla1[[#This Row],[precio_unitario]]</f>
        <v>2915568</v>
      </c>
      <c r="L17" s="1">
        <f>Tabla1[[#This Row],[cantidad]]*Tabla1[[#This Row],[costo_unitario]]</f>
        <v>2274143</v>
      </c>
      <c r="M17" s="1">
        <f>Tabla1[[#This Row],[venta_total]]-Tabla1[[#This Row],[costo_total]]</f>
        <v>641425</v>
      </c>
      <c r="N17" s="3">
        <f>Tabla1[[#This Row],[margen]]/Tabla1[[#This Row],[venta_total]]</f>
        <v>0.22000001371945363</v>
      </c>
    </row>
    <row r="18" spans="1:14" x14ac:dyDescent="0.25">
      <c r="A18" s="2">
        <v>45405</v>
      </c>
      <c r="B18" t="s">
        <v>34</v>
      </c>
      <c r="C18" t="s">
        <v>11</v>
      </c>
      <c r="D18" t="s">
        <v>26</v>
      </c>
      <c r="E18" t="s">
        <v>13</v>
      </c>
      <c r="F18" t="s">
        <v>27</v>
      </c>
      <c r="G18">
        <v>1</v>
      </c>
      <c r="H18" s="1">
        <v>6364408</v>
      </c>
      <c r="I18" s="1">
        <v>5091526</v>
      </c>
      <c r="J18" t="s">
        <v>31</v>
      </c>
      <c r="K18" s="1">
        <f>Tabla1[[#This Row],[cantidad]]*Tabla1[[#This Row],[precio_unitario]]</f>
        <v>6364408</v>
      </c>
      <c r="L18" s="1">
        <f>Tabla1[[#This Row],[cantidad]]*Tabla1[[#This Row],[costo_unitario]]</f>
        <v>5091526</v>
      </c>
      <c r="M18" s="1">
        <f>Tabla1[[#This Row],[venta_total]]-Tabla1[[#This Row],[costo_total]]</f>
        <v>1272882</v>
      </c>
      <c r="N18" s="3">
        <f>Tabla1[[#This Row],[margen]]/Tabla1[[#This Row],[venta_total]]</f>
        <v>0.2000000628495219</v>
      </c>
    </row>
    <row r="19" spans="1:14" x14ac:dyDescent="0.25">
      <c r="A19" s="2">
        <v>45398</v>
      </c>
      <c r="B19" t="s">
        <v>32</v>
      </c>
      <c r="C19" t="s">
        <v>11</v>
      </c>
      <c r="D19" t="s">
        <v>19</v>
      </c>
      <c r="E19" t="s">
        <v>20</v>
      </c>
      <c r="F19" t="s">
        <v>21</v>
      </c>
      <c r="G19">
        <v>2</v>
      </c>
      <c r="H19" s="1">
        <v>398744</v>
      </c>
      <c r="I19" s="1">
        <v>239246</v>
      </c>
      <c r="J19" t="s">
        <v>22</v>
      </c>
      <c r="K19" s="1">
        <f>Tabla1[[#This Row],[cantidad]]*Tabla1[[#This Row],[precio_unitario]]</f>
        <v>797488</v>
      </c>
      <c r="L19" s="1">
        <f>Tabla1[[#This Row],[cantidad]]*Tabla1[[#This Row],[costo_unitario]]</f>
        <v>478492</v>
      </c>
      <c r="M19" s="1">
        <f>Tabla1[[#This Row],[venta_total]]-Tabla1[[#This Row],[costo_total]]</f>
        <v>318996</v>
      </c>
      <c r="N19" s="3">
        <f>Tabla1[[#This Row],[margen]]/Tabla1[[#This Row],[venta_total]]</f>
        <v>0.40000100314989068</v>
      </c>
    </row>
    <row r="20" spans="1:14" x14ac:dyDescent="0.25">
      <c r="A20" s="2">
        <v>45394</v>
      </c>
      <c r="B20" t="s">
        <v>18</v>
      </c>
      <c r="C20" t="s">
        <v>11</v>
      </c>
      <c r="D20" t="s">
        <v>19</v>
      </c>
      <c r="E20" t="s">
        <v>20</v>
      </c>
      <c r="F20" t="s">
        <v>21</v>
      </c>
      <c r="G20">
        <v>1</v>
      </c>
      <c r="H20" s="1">
        <v>383977</v>
      </c>
      <c r="I20" s="1">
        <v>230386</v>
      </c>
      <c r="J20" t="s">
        <v>25</v>
      </c>
      <c r="K20" s="1">
        <f>Tabla1[[#This Row],[cantidad]]*Tabla1[[#This Row],[precio_unitario]]</f>
        <v>383977</v>
      </c>
      <c r="L20" s="1">
        <f>Tabla1[[#This Row],[cantidad]]*Tabla1[[#This Row],[costo_unitario]]</f>
        <v>230386</v>
      </c>
      <c r="M20" s="1">
        <f>Tabla1[[#This Row],[venta_total]]-Tabla1[[#This Row],[costo_total]]</f>
        <v>153591</v>
      </c>
      <c r="N20" s="3">
        <f>Tabla1[[#This Row],[margen]]/Tabla1[[#This Row],[venta_total]]</f>
        <v>0.40000052086453097</v>
      </c>
    </row>
    <row r="21" spans="1:14" x14ac:dyDescent="0.25">
      <c r="A21" s="2">
        <v>45449</v>
      </c>
      <c r="B21" t="s">
        <v>34</v>
      </c>
      <c r="C21" t="s">
        <v>11</v>
      </c>
      <c r="D21" t="s">
        <v>23</v>
      </c>
      <c r="E21" t="s">
        <v>20</v>
      </c>
      <c r="F21" t="s">
        <v>30</v>
      </c>
      <c r="G21">
        <v>1</v>
      </c>
      <c r="H21" s="1">
        <v>1115370</v>
      </c>
      <c r="I21" s="1">
        <v>780759</v>
      </c>
      <c r="J21" t="s">
        <v>22</v>
      </c>
      <c r="K21" s="1">
        <f>Tabla1[[#This Row],[cantidad]]*Tabla1[[#This Row],[precio_unitario]]</f>
        <v>1115370</v>
      </c>
      <c r="L21" s="1">
        <f>Tabla1[[#This Row],[cantidad]]*Tabla1[[#This Row],[costo_unitario]]</f>
        <v>780759</v>
      </c>
      <c r="M21" s="1">
        <f>Tabla1[[#This Row],[venta_total]]-Tabla1[[#This Row],[costo_total]]</f>
        <v>334611</v>
      </c>
      <c r="N21" s="3">
        <f>Tabla1[[#This Row],[margen]]/Tabla1[[#This Row],[venta_total]]</f>
        <v>0.3</v>
      </c>
    </row>
    <row r="22" spans="1:14" x14ac:dyDescent="0.25">
      <c r="A22" s="2">
        <v>45431</v>
      </c>
      <c r="B22" t="s">
        <v>34</v>
      </c>
      <c r="C22" t="s">
        <v>11</v>
      </c>
      <c r="D22" t="s">
        <v>19</v>
      </c>
      <c r="E22" t="s">
        <v>16</v>
      </c>
      <c r="F22" t="s">
        <v>35</v>
      </c>
      <c r="G22">
        <v>3</v>
      </c>
      <c r="H22" s="1">
        <v>658355</v>
      </c>
      <c r="I22" s="1">
        <v>427930</v>
      </c>
      <c r="J22" t="s">
        <v>25</v>
      </c>
      <c r="K22" s="1">
        <f>Tabla1[[#This Row],[cantidad]]*Tabla1[[#This Row],[precio_unitario]]</f>
        <v>1975065</v>
      </c>
      <c r="L22" s="1">
        <f>Tabla1[[#This Row],[cantidad]]*Tabla1[[#This Row],[costo_unitario]]</f>
        <v>1283790</v>
      </c>
      <c r="M22" s="1">
        <f>Tabla1[[#This Row],[venta_total]]-Tabla1[[#This Row],[costo_total]]</f>
        <v>691275</v>
      </c>
      <c r="N22" s="3">
        <f>Tabla1[[#This Row],[margen]]/Tabla1[[#This Row],[venta_total]]</f>
        <v>0.35000113920301357</v>
      </c>
    </row>
    <row r="23" spans="1:14" x14ac:dyDescent="0.25">
      <c r="A23" s="2">
        <v>45312</v>
      </c>
      <c r="B23" t="s">
        <v>10</v>
      </c>
      <c r="C23" t="s">
        <v>11</v>
      </c>
      <c r="D23" t="s">
        <v>19</v>
      </c>
      <c r="E23" t="s">
        <v>20</v>
      </c>
      <c r="F23" t="s">
        <v>21</v>
      </c>
      <c r="G23">
        <v>1</v>
      </c>
      <c r="H23" s="1">
        <v>406751</v>
      </c>
      <c r="I23" s="1">
        <v>244050</v>
      </c>
      <c r="J23" t="s">
        <v>31</v>
      </c>
      <c r="K23" s="1">
        <f>Tabla1[[#This Row],[cantidad]]*Tabla1[[#This Row],[precio_unitario]]</f>
        <v>406751</v>
      </c>
      <c r="L23" s="1">
        <f>Tabla1[[#This Row],[cantidad]]*Tabla1[[#This Row],[costo_unitario]]</f>
        <v>244050</v>
      </c>
      <c r="M23" s="1">
        <f>Tabla1[[#This Row],[venta_total]]-Tabla1[[#This Row],[costo_total]]</f>
        <v>162701</v>
      </c>
      <c r="N23" s="3">
        <f>Tabla1[[#This Row],[margen]]/Tabla1[[#This Row],[venta_total]]</f>
        <v>0.40000147510393336</v>
      </c>
    </row>
    <row r="24" spans="1:14" x14ac:dyDescent="0.25">
      <c r="A24" s="2">
        <v>45408</v>
      </c>
      <c r="B24" t="s">
        <v>18</v>
      </c>
      <c r="C24" t="s">
        <v>11</v>
      </c>
      <c r="D24" t="s">
        <v>26</v>
      </c>
      <c r="E24" t="s">
        <v>20</v>
      </c>
      <c r="F24" t="s">
        <v>36</v>
      </c>
      <c r="G24">
        <v>1</v>
      </c>
      <c r="H24" s="1">
        <v>2148437</v>
      </c>
      <c r="I24" s="1">
        <v>1611327</v>
      </c>
      <c r="J24" t="s">
        <v>22</v>
      </c>
      <c r="K24" s="1">
        <f>Tabla1[[#This Row],[cantidad]]*Tabla1[[#This Row],[precio_unitario]]</f>
        <v>2148437</v>
      </c>
      <c r="L24" s="1">
        <f>Tabla1[[#This Row],[cantidad]]*Tabla1[[#This Row],[costo_unitario]]</f>
        <v>1611327</v>
      </c>
      <c r="M24" s="1">
        <f>Tabla1[[#This Row],[venta_total]]-Tabla1[[#This Row],[costo_total]]</f>
        <v>537110</v>
      </c>
      <c r="N24" s="3">
        <f>Tabla1[[#This Row],[margen]]/Tabla1[[#This Row],[venta_total]]</f>
        <v>0.25000034909099034</v>
      </c>
    </row>
    <row r="25" spans="1:14" x14ac:dyDescent="0.25">
      <c r="A25" s="2">
        <v>45438</v>
      </c>
      <c r="B25" t="s">
        <v>34</v>
      </c>
      <c r="C25" t="s">
        <v>11</v>
      </c>
      <c r="D25" t="s">
        <v>12</v>
      </c>
      <c r="E25" t="s">
        <v>20</v>
      </c>
      <c r="F25" t="s">
        <v>37</v>
      </c>
      <c r="G25">
        <v>1</v>
      </c>
      <c r="H25" s="1">
        <v>1734070</v>
      </c>
      <c r="I25" s="1">
        <v>1300552</v>
      </c>
      <c r="J25" t="s">
        <v>31</v>
      </c>
      <c r="K25" s="1">
        <f>Tabla1[[#This Row],[cantidad]]*Tabla1[[#This Row],[precio_unitario]]</f>
        <v>1734070</v>
      </c>
      <c r="L25" s="1">
        <f>Tabla1[[#This Row],[cantidad]]*Tabla1[[#This Row],[costo_unitario]]</f>
        <v>1300552</v>
      </c>
      <c r="M25" s="1">
        <f>Tabla1[[#This Row],[venta_total]]-Tabla1[[#This Row],[costo_total]]</f>
        <v>433518</v>
      </c>
      <c r="N25" s="3">
        <f>Tabla1[[#This Row],[margen]]/Tabla1[[#This Row],[venta_total]]</f>
        <v>0.2500002883389944</v>
      </c>
    </row>
    <row r="26" spans="1:14" x14ac:dyDescent="0.25">
      <c r="A26" s="2">
        <v>45368</v>
      </c>
      <c r="B26" t="s">
        <v>10</v>
      </c>
      <c r="C26" t="s">
        <v>11</v>
      </c>
      <c r="D26" t="s">
        <v>26</v>
      </c>
      <c r="E26" t="s">
        <v>20</v>
      </c>
      <c r="F26" t="s">
        <v>36</v>
      </c>
      <c r="G26">
        <v>1</v>
      </c>
      <c r="H26" s="1">
        <v>3077641</v>
      </c>
      <c r="I26" s="1">
        <v>2308230</v>
      </c>
      <c r="J26" t="s">
        <v>31</v>
      </c>
      <c r="K26" s="1">
        <f>Tabla1[[#This Row],[cantidad]]*Tabla1[[#This Row],[precio_unitario]]</f>
        <v>3077641</v>
      </c>
      <c r="L26" s="1">
        <f>Tabla1[[#This Row],[cantidad]]*Tabla1[[#This Row],[costo_unitario]]</f>
        <v>2308230</v>
      </c>
      <c r="M26" s="1">
        <f>Tabla1[[#This Row],[venta_total]]-Tabla1[[#This Row],[costo_total]]</f>
        <v>769411</v>
      </c>
      <c r="N26" s="3">
        <f>Tabla1[[#This Row],[margen]]/Tabla1[[#This Row],[venta_total]]</f>
        <v>0.25000024369314028</v>
      </c>
    </row>
    <row r="27" spans="1:14" x14ac:dyDescent="0.25">
      <c r="A27" s="2">
        <v>45473</v>
      </c>
      <c r="B27" t="s">
        <v>18</v>
      </c>
      <c r="C27" t="s">
        <v>11</v>
      </c>
      <c r="D27" t="s">
        <v>19</v>
      </c>
      <c r="E27" t="s">
        <v>20</v>
      </c>
      <c r="F27" t="s">
        <v>21</v>
      </c>
      <c r="G27">
        <v>1</v>
      </c>
      <c r="H27" s="1">
        <v>467385</v>
      </c>
      <c r="I27" s="1">
        <v>280431</v>
      </c>
      <c r="J27" t="s">
        <v>31</v>
      </c>
      <c r="K27" s="1">
        <f>Tabla1[[#This Row],[cantidad]]*Tabla1[[#This Row],[precio_unitario]]</f>
        <v>467385</v>
      </c>
      <c r="L27" s="1">
        <f>Tabla1[[#This Row],[cantidad]]*Tabla1[[#This Row],[costo_unitario]]</f>
        <v>280431</v>
      </c>
      <c r="M27" s="1">
        <f>Tabla1[[#This Row],[venta_total]]-Tabla1[[#This Row],[costo_total]]</f>
        <v>186954</v>
      </c>
      <c r="N27" s="3">
        <f>Tabla1[[#This Row],[margen]]/Tabla1[[#This Row],[venta_total]]</f>
        <v>0.4</v>
      </c>
    </row>
    <row r="28" spans="1:14" x14ac:dyDescent="0.25">
      <c r="A28" s="2">
        <v>45425</v>
      </c>
      <c r="B28" t="s">
        <v>10</v>
      </c>
      <c r="C28" t="s">
        <v>11</v>
      </c>
      <c r="D28" t="s">
        <v>38</v>
      </c>
      <c r="E28" t="s">
        <v>16</v>
      </c>
      <c r="F28" t="s">
        <v>39</v>
      </c>
      <c r="G28">
        <v>1</v>
      </c>
      <c r="H28" s="1">
        <v>4466902</v>
      </c>
      <c r="I28" s="1">
        <v>3350176</v>
      </c>
      <c r="J28" t="s">
        <v>15</v>
      </c>
      <c r="K28" s="1">
        <f>Tabla1[[#This Row],[cantidad]]*Tabla1[[#This Row],[precio_unitario]]</f>
        <v>4466902</v>
      </c>
      <c r="L28" s="1">
        <f>Tabla1[[#This Row],[cantidad]]*Tabla1[[#This Row],[costo_unitario]]</f>
        <v>3350176</v>
      </c>
      <c r="M28" s="1">
        <f>Tabla1[[#This Row],[venta_total]]-Tabla1[[#This Row],[costo_total]]</f>
        <v>1116726</v>
      </c>
      <c r="N28" s="3">
        <f>Tabla1[[#This Row],[margen]]/Tabla1[[#This Row],[venta_total]]</f>
        <v>0.25000011193440108</v>
      </c>
    </row>
    <row r="29" spans="1:14" x14ac:dyDescent="0.25">
      <c r="A29" s="2">
        <v>45353</v>
      </c>
      <c r="B29" t="s">
        <v>10</v>
      </c>
      <c r="C29" t="s">
        <v>11</v>
      </c>
      <c r="D29" t="s">
        <v>12</v>
      </c>
      <c r="E29" t="s">
        <v>20</v>
      </c>
      <c r="F29" t="s">
        <v>37</v>
      </c>
      <c r="G29">
        <v>1</v>
      </c>
      <c r="H29" s="1">
        <v>2584646</v>
      </c>
      <c r="I29" s="1">
        <v>1938484</v>
      </c>
      <c r="J29" t="s">
        <v>31</v>
      </c>
      <c r="K29" s="1">
        <f>Tabla1[[#This Row],[cantidad]]*Tabla1[[#This Row],[precio_unitario]]</f>
        <v>2584646</v>
      </c>
      <c r="L29" s="1">
        <f>Tabla1[[#This Row],[cantidad]]*Tabla1[[#This Row],[costo_unitario]]</f>
        <v>1938484</v>
      </c>
      <c r="M29" s="1">
        <f>Tabla1[[#This Row],[venta_total]]-Tabla1[[#This Row],[costo_total]]</f>
        <v>646162</v>
      </c>
      <c r="N29" s="3">
        <f>Tabla1[[#This Row],[margen]]/Tabla1[[#This Row],[venta_total]]</f>
        <v>0.2500001934500895</v>
      </c>
    </row>
    <row r="30" spans="1:14" x14ac:dyDescent="0.25">
      <c r="A30" s="2">
        <v>45408</v>
      </c>
      <c r="B30" t="s">
        <v>18</v>
      </c>
      <c r="C30" t="s">
        <v>11</v>
      </c>
      <c r="D30" t="s">
        <v>26</v>
      </c>
      <c r="E30" t="s">
        <v>16</v>
      </c>
      <c r="F30" t="s">
        <v>40</v>
      </c>
      <c r="G30">
        <v>1</v>
      </c>
      <c r="H30" s="1">
        <v>3250859</v>
      </c>
      <c r="I30" s="1">
        <v>2535670</v>
      </c>
      <c r="J30" t="s">
        <v>25</v>
      </c>
      <c r="K30" s="1">
        <f>Tabla1[[#This Row],[cantidad]]*Tabla1[[#This Row],[precio_unitario]]</f>
        <v>3250859</v>
      </c>
      <c r="L30" s="1">
        <f>Tabla1[[#This Row],[cantidad]]*Tabla1[[#This Row],[costo_unitario]]</f>
        <v>2535670</v>
      </c>
      <c r="M30" s="1">
        <f>Tabla1[[#This Row],[venta_total]]-Tabla1[[#This Row],[costo_total]]</f>
        <v>715189</v>
      </c>
      <c r="N30" s="3">
        <f>Tabla1[[#This Row],[margen]]/Tabla1[[#This Row],[venta_total]]</f>
        <v>0.22000000615222007</v>
      </c>
    </row>
    <row r="31" spans="1:14" x14ac:dyDescent="0.25">
      <c r="A31" s="2">
        <v>45309</v>
      </c>
      <c r="B31" t="s">
        <v>34</v>
      </c>
      <c r="C31" t="s">
        <v>11</v>
      </c>
      <c r="D31" t="s">
        <v>23</v>
      </c>
      <c r="E31" t="s">
        <v>20</v>
      </c>
      <c r="F31" t="s">
        <v>30</v>
      </c>
      <c r="G31">
        <v>1</v>
      </c>
      <c r="H31" s="1">
        <v>1011702</v>
      </c>
      <c r="I31" s="1">
        <v>708191</v>
      </c>
      <c r="J31" t="s">
        <v>29</v>
      </c>
      <c r="K31" s="1">
        <f>Tabla1[[#This Row],[cantidad]]*Tabla1[[#This Row],[precio_unitario]]</f>
        <v>1011702</v>
      </c>
      <c r="L31" s="1">
        <f>Tabla1[[#This Row],[cantidad]]*Tabla1[[#This Row],[costo_unitario]]</f>
        <v>708191</v>
      </c>
      <c r="M31" s="1">
        <f>Tabla1[[#This Row],[venta_total]]-Tabla1[[#This Row],[costo_total]]</f>
        <v>303511</v>
      </c>
      <c r="N31" s="3">
        <f>Tabla1[[#This Row],[margen]]/Tabla1[[#This Row],[venta_total]]</f>
        <v>0.30000039537334117</v>
      </c>
    </row>
    <row r="32" spans="1:14" x14ac:dyDescent="0.25">
      <c r="A32" s="2">
        <v>45305</v>
      </c>
      <c r="B32" t="s">
        <v>18</v>
      </c>
      <c r="C32" t="s">
        <v>11</v>
      </c>
      <c r="D32" t="s">
        <v>23</v>
      </c>
      <c r="E32" t="s">
        <v>13</v>
      </c>
      <c r="F32" t="s">
        <v>28</v>
      </c>
      <c r="G32">
        <v>1</v>
      </c>
      <c r="H32" s="1">
        <v>2656085</v>
      </c>
      <c r="I32" s="1">
        <v>2124868</v>
      </c>
      <c r="J32" t="s">
        <v>29</v>
      </c>
      <c r="K32" s="1">
        <f>Tabla1[[#This Row],[cantidad]]*Tabla1[[#This Row],[precio_unitario]]</f>
        <v>2656085</v>
      </c>
      <c r="L32" s="1">
        <f>Tabla1[[#This Row],[cantidad]]*Tabla1[[#This Row],[costo_unitario]]</f>
        <v>2124868</v>
      </c>
      <c r="M32" s="1">
        <f>Tabla1[[#This Row],[venta_total]]-Tabla1[[#This Row],[costo_total]]</f>
        <v>531217</v>
      </c>
      <c r="N32" s="3">
        <f>Tabla1[[#This Row],[margen]]/Tabla1[[#This Row],[venta_total]]</f>
        <v>0.2</v>
      </c>
    </row>
    <row r="33" spans="1:14" x14ac:dyDescent="0.25">
      <c r="A33" s="2">
        <v>45319</v>
      </c>
      <c r="B33" t="s">
        <v>32</v>
      </c>
      <c r="C33" t="s">
        <v>11</v>
      </c>
      <c r="D33" t="s">
        <v>12</v>
      </c>
      <c r="E33" t="s">
        <v>16</v>
      </c>
      <c r="F33" t="s">
        <v>17</v>
      </c>
      <c r="G33">
        <v>1</v>
      </c>
      <c r="H33" s="1">
        <v>2810260</v>
      </c>
      <c r="I33" s="1">
        <v>2192002</v>
      </c>
      <c r="J33" t="s">
        <v>25</v>
      </c>
      <c r="K33" s="1">
        <f>Tabla1[[#This Row],[cantidad]]*Tabla1[[#This Row],[precio_unitario]]</f>
        <v>2810260</v>
      </c>
      <c r="L33" s="1">
        <f>Tabla1[[#This Row],[cantidad]]*Tabla1[[#This Row],[costo_unitario]]</f>
        <v>2192002</v>
      </c>
      <c r="M33" s="1">
        <f>Tabla1[[#This Row],[venta_total]]-Tabla1[[#This Row],[costo_total]]</f>
        <v>618258</v>
      </c>
      <c r="N33" s="3">
        <f>Tabla1[[#This Row],[margen]]/Tabla1[[#This Row],[venta_total]]</f>
        <v>0.22000028467116922</v>
      </c>
    </row>
    <row r="34" spans="1:14" x14ac:dyDescent="0.25">
      <c r="A34" s="2">
        <v>45467</v>
      </c>
      <c r="B34" t="s">
        <v>18</v>
      </c>
      <c r="C34" t="s">
        <v>11</v>
      </c>
      <c r="D34" t="s">
        <v>38</v>
      </c>
      <c r="E34" t="s">
        <v>13</v>
      </c>
      <c r="F34" t="s">
        <v>41</v>
      </c>
      <c r="G34">
        <v>1</v>
      </c>
      <c r="H34" s="1">
        <v>6282308</v>
      </c>
      <c r="I34" s="1">
        <v>5025846</v>
      </c>
      <c r="J34" t="s">
        <v>29</v>
      </c>
      <c r="K34" s="1">
        <f>Tabla1[[#This Row],[cantidad]]*Tabla1[[#This Row],[precio_unitario]]</f>
        <v>6282308</v>
      </c>
      <c r="L34" s="1">
        <f>Tabla1[[#This Row],[cantidad]]*Tabla1[[#This Row],[costo_unitario]]</f>
        <v>5025846</v>
      </c>
      <c r="M34" s="1">
        <f>Tabla1[[#This Row],[venta_total]]-Tabla1[[#This Row],[costo_total]]</f>
        <v>1256462</v>
      </c>
      <c r="N34" s="3">
        <f>Tabla1[[#This Row],[margen]]/Tabla1[[#This Row],[venta_total]]</f>
        <v>0.20000006367086745</v>
      </c>
    </row>
    <row r="35" spans="1:14" x14ac:dyDescent="0.25">
      <c r="A35" s="2">
        <v>45298</v>
      </c>
      <c r="B35" t="s">
        <v>10</v>
      </c>
      <c r="C35" t="s">
        <v>11</v>
      </c>
      <c r="D35" t="s">
        <v>38</v>
      </c>
      <c r="E35" t="s">
        <v>13</v>
      </c>
      <c r="F35" t="s">
        <v>41</v>
      </c>
      <c r="G35">
        <v>1</v>
      </c>
      <c r="H35" s="1">
        <v>8130186</v>
      </c>
      <c r="I35" s="1">
        <v>6504148</v>
      </c>
      <c r="J35" t="s">
        <v>15</v>
      </c>
      <c r="K35" s="1">
        <f>Tabla1[[#This Row],[cantidad]]*Tabla1[[#This Row],[precio_unitario]]</f>
        <v>8130186</v>
      </c>
      <c r="L35" s="1">
        <f>Tabla1[[#This Row],[cantidad]]*Tabla1[[#This Row],[costo_unitario]]</f>
        <v>6504148</v>
      </c>
      <c r="M35" s="1">
        <f>Tabla1[[#This Row],[venta_total]]-Tabla1[[#This Row],[costo_total]]</f>
        <v>1626038</v>
      </c>
      <c r="N35" s="3">
        <f>Tabla1[[#This Row],[margen]]/Tabla1[[#This Row],[venta_total]]</f>
        <v>0.20000009839873281</v>
      </c>
    </row>
    <row r="36" spans="1:14" x14ac:dyDescent="0.25">
      <c r="A36" s="2">
        <v>45450</v>
      </c>
      <c r="B36" t="s">
        <v>34</v>
      </c>
      <c r="C36" t="s">
        <v>11</v>
      </c>
      <c r="D36" t="s">
        <v>12</v>
      </c>
      <c r="E36" t="s">
        <v>13</v>
      </c>
      <c r="F36" t="s">
        <v>14</v>
      </c>
      <c r="G36">
        <v>1</v>
      </c>
      <c r="H36" s="1">
        <v>4447529</v>
      </c>
      <c r="I36" s="1">
        <v>3558023</v>
      </c>
      <c r="J36" t="s">
        <v>22</v>
      </c>
      <c r="K36" s="1">
        <f>Tabla1[[#This Row],[cantidad]]*Tabla1[[#This Row],[precio_unitario]]</f>
        <v>4447529</v>
      </c>
      <c r="L36" s="1">
        <f>Tabla1[[#This Row],[cantidad]]*Tabla1[[#This Row],[costo_unitario]]</f>
        <v>3558023</v>
      </c>
      <c r="M36" s="1">
        <f>Tabla1[[#This Row],[venta_total]]-Tabla1[[#This Row],[costo_total]]</f>
        <v>889506</v>
      </c>
      <c r="N36" s="3">
        <f>Tabla1[[#This Row],[margen]]/Tabla1[[#This Row],[venta_total]]</f>
        <v>0.20000004496879054</v>
      </c>
    </row>
    <row r="37" spans="1:14" x14ac:dyDescent="0.25">
      <c r="A37" s="2">
        <v>45452</v>
      </c>
      <c r="B37" t="s">
        <v>18</v>
      </c>
      <c r="C37" t="s">
        <v>11</v>
      </c>
      <c r="D37" t="s">
        <v>26</v>
      </c>
      <c r="E37" t="s">
        <v>16</v>
      </c>
      <c r="F37" t="s">
        <v>40</v>
      </c>
      <c r="G37">
        <v>1</v>
      </c>
      <c r="H37" s="1">
        <v>4772257</v>
      </c>
      <c r="I37" s="1">
        <v>3722360</v>
      </c>
      <c r="J37" t="s">
        <v>25</v>
      </c>
      <c r="K37" s="1">
        <f>Tabla1[[#This Row],[cantidad]]*Tabla1[[#This Row],[precio_unitario]]</f>
        <v>4772257</v>
      </c>
      <c r="L37" s="1">
        <f>Tabla1[[#This Row],[cantidad]]*Tabla1[[#This Row],[costo_unitario]]</f>
        <v>3722360</v>
      </c>
      <c r="M37" s="1">
        <f>Tabla1[[#This Row],[venta_total]]-Tabla1[[#This Row],[costo_total]]</f>
        <v>1049897</v>
      </c>
      <c r="N37" s="3">
        <f>Tabla1[[#This Row],[margen]]/Tabla1[[#This Row],[venta_total]]</f>
        <v>0.22000009639045004</v>
      </c>
    </row>
    <row r="38" spans="1:14" x14ac:dyDescent="0.25">
      <c r="A38" s="2">
        <v>45390</v>
      </c>
      <c r="B38" t="s">
        <v>18</v>
      </c>
      <c r="C38" t="s">
        <v>11</v>
      </c>
      <c r="D38" t="s">
        <v>38</v>
      </c>
      <c r="E38" t="s">
        <v>16</v>
      </c>
      <c r="F38" t="s">
        <v>39</v>
      </c>
      <c r="G38">
        <v>1</v>
      </c>
      <c r="H38" s="1">
        <v>3866770</v>
      </c>
      <c r="I38" s="1">
        <v>2900077</v>
      </c>
      <c r="J38" t="s">
        <v>29</v>
      </c>
      <c r="K38" s="1">
        <f>Tabla1[[#This Row],[cantidad]]*Tabla1[[#This Row],[precio_unitario]]</f>
        <v>3866770</v>
      </c>
      <c r="L38" s="1">
        <f>Tabla1[[#This Row],[cantidad]]*Tabla1[[#This Row],[costo_unitario]]</f>
        <v>2900077</v>
      </c>
      <c r="M38" s="1">
        <f>Tabla1[[#This Row],[venta_total]]-Tabla1[[#This Row],[costo_total]]</f>
        <v>966693</v>
      </c>
      <c r="N38" s="3">
        <f>Tabla1[[#This Row],[margen]]/Tabla1[[#This Row],[venta_total]]</f>
        <v>0.2500001293068892</v>
      </c>
    </row>
    <row r="39" spans="1:14" x14ac:dyDescent="0.25">
      <c r="A39" s="2">
        <v>45412</v>
      </c>
      <c r="B39" t="s">
        <v>10</v>
      </c>
      <c r="C39" t="s">
        <v>11</v>
      </c>
      <c r="D39" t="s">
        <v>19</v>
      </c>
      <c r="E39" t="s">
        <v>16</v>
      </c>
      <c r="F39" t="s">
        <v>35</v>
      </c>
      <c r="G39">
        <v>1</v>
      </c>
      <c r="H39" s="1">
        <v>965656</v>
      </c>
      <c r="I39" s="1">
        <v>627676</v>
      </c>
      <c r="J39" t="s">
        <v>31</v>
      </c>
      <c r="K39" s="1">
        <f>Tabla1[[#This Row],[cantidad]]*Tabla1[[#This Row],[precio_unitario]]</f>
        <v>965656</v>
      </c>
      <c r="L39" s="1">
        <f>Tabla1[[#This Row],[cantidad]]*Tabla1[[#This Row],[costo_unitario]]</f>
        <v>627676</v>
      </c>
      <c r="M39" s="1">
        <f>Tabla1[[#This Row],[venta_total]]-Tabla1[[#This Row],[costo_total]]</f>
        <v>337980</v>
      </c>
      <c r="N39" s="3">
        <f>Tabla1[[#This Row],[margen]]/Tabla1[[#This Row],[venta_total]]</f>
        <v>0.35000041422618405</v>
      </c>
    </row>
    <row r="40" spans="1:14" x14ac:dyDescent="0.25">
      <c r="A40" s="2">
        <v>45450</v>
      </c>
      <c r="B40" t="s">
        <v>34</v>
      </c>
      <c r="C40" t="s">
        <v>11</v>
      </c>
      <c r="D40" t="s">
        <v>19</v>
      </c>
      <c r="E40" t="s">
        <v>16</v>
      </c>
      <c r="F40" t="s">
        <v>35</v>
      </c>
      <c r="G40">
        <v>1</v>
      </c>
      <c r="H40" s="1">
        <v>1106805</v>
      </c>
      <c r="I40" s="1">
        <v>719423</v>
      </c>
      <c r="J40" t="s">
        <v>15</v>
      </c>
      <c r="K40" s="1">
        <f>Tabla1[[#This Row],[cantidad]]*Tabla1[[#This Row],[precio_unitario]]</f>
        <v>1106805</v>
      </c>
      <c r="L40" s="1">
        <f>Tabla1[[#This Row],[cantidad]]*Tabla1[[#This Row],[costo_unitario]]</f>
        <v>719423</v>
      </c>
      <c r="M40" s="1">
        <f>Tabla1[[#This Row],[venta_total]]-Tabla1[[#This Row],[costo_total]]</f>
        <v>387382</v>
      </c>
      <c r="N40" s="3">
        <f>Tabla1[[#This Row],[margen]]/Tabla1[[#This Row],[venta_total]]</f>
        <v>0.35000022587538004</v>
      </c>
    </row>
    <row r="41" spans="1:14" x14ac:dyDescent="0.25">
      <c r="A41" s="2">
        <v>45322</v>
      </c>
      <c r="B41" t="s">
        <v>10</v>
      </c>
      <c r="C41" t="s">
        <v>11</v>
      </c>
      <c r="D41" t="s">
        <v>12</v>
      </c>
      <c r="E41" t="s">
        <v>20</v>
      </c>
      <c r="F41" t="s">
        <v>37</v>
      </c>
      <c r="G41">
        <v>1</v>
      </c>
      <c r="H41" s="1">
        <v>1800593</v>
      </c>
      <c r="I41" s="1">
        <v>1350444</v>
      </c>
      <c r="J41" t="s">
        <v>25</v>
      </c>
      <c r="K41" s="1">
        <f>Tabla1[[#This Row],[cantidad]]*Tabla1[[#This Row],[precio_unitario]]</f>
        <v>1800593</v>
      </c>
      <c r="L41" s="1">
        <f>Tabla1[[#This Row],[cantidad]]*Tabla1[[#This Row],[costo_unitario]]</f>
        <v>1350444</v>
      </c>
      <c r="M41" s="1">
        <f>Tabla1[[#This Row],[venta_total]]-Tabla1[[#This Row],[costo_total]]</f>
        <v>450149</v>
      </c>
      <c r="N41" s="3">
        <f>Tabla1[[#This Row],[margen]]/Tabla1[[#This Row],[venta_total]]</f>
        <v>0.25000041652944338</v>
      </c>
    </row>
    <row r="42" spans="1:14" x14ac:dyDescent="0.25">
      <c r="A42" s="2">
        <v>45387</v>
      </c>
      <c r="B42" t="s">
        <v>10</v>
      </c>
      <c r="C42" t="s">
        <v>11</v>
      </c>
      <c r="D42" t="s">
        <v>38</v>
      </c>
      <c r="E42" t="s">
        <v>16</v>
      </c>
      <c r="F42" t="s">
        <v>39</v>
      </c>
      <c r="G42">
        <v>1</v>
      </c>
      <c r="H42" s="1">
        <v>4309639</v>
      </c>
      <c r="I42" s="1">
        <v>3232229</v>
      </c>
      <c r="J42" t="s">
        <v>31</v>
      </c>
      <c r="K42" s="1">
        <f>Tabla1[[#This Row],[cantidad]]*Tabla1[[#This Row],[precio_unitario]]</f>
        <v>4309639</v>
      </c>
      <c r="L42" s="1">
        <f>Tabla1[[#This Row],[cantidad]]*Tabla1[[#This Row],[costo_unitario]]</f>
        <v>3232229</v>
      </c>
      <c r="M42" s="1">
        <f>Tabla1[[#This Row],[venta_total]]-Tabla1[[#This Row],[costo_total]]</f>
        <v>1077410</v>
      </c>
      <c r="N42" s="3">
        <f>Tabla1[[#This Row],[margen]]/Tabla1[[#This Row],[venta_total]]</f>
        <v>0.25000005800949915</v>
      </c>
    </row>
    <row r="43" spans="1:14" x14ac:dyDescent="0.25">
      <c r="A43" s="2">
        <v>45367</v>
      </c>
      <c r="B43" t="s">
        <v>32</v>
      </c>
      <c r="C43" t="s">
        <v>11</v>
      </c>
      <c r="D43" t="s">
        <v>23</v>
      </c>
      <c r="E43" t="s">
        <v>16</v>
      </c>
      <c r="F43" t="s">
        <v>24</v>
      </c>
      <c r="G43">
        <v>1</v>
      </c>
      <c r="H43" s="1">
        <v>1442039</v>
      </c>
      <c r="I43" s="1">
        <v>1081529</v>
      </c>
      <c r="J43" t="s">
        <v>15</v>
      </c>
      <c r="K43" s="1">
        <f>Tabla1[[#This Row],[cantidad]]*Tabla1[[#This Row],[precio_unitario]]</f>
        <v>1442039</v>
      </c>
      <c r="L43" s="1">
        <f>Tabla1[[#This Row],[cantidad]]*Tabla1[[#This Row],[costo_unitario]]</f>
        <v>1081529</v>
      </c>
      <c r="M43" s="1">
        <f>Tabla1[[#This Row],[venta_total]]-Tabla1[[#This Row],[costo_total]]</f>
        <v>360510</v>
      </c>
      <c r="N43" s="3">
        <f>Tabla1[[#This Row],[margen]]/Tabla1[[#This Row],[venta_total]]</f>
        <v>0.25000017336563018</v>
      </c>
    </row>
    <row r="44" spans="1:14" x14ac:dyDescent="0.25">
      <c r="A44" s="2">
        <v>45332</v>
      </c>
      <c r="B44" t="s">
        <v>18</v>
      </c>
      <c r="C44" t="s">
        <v>11</v>
      </c>
      <c r="D44" t="s">
        <v>38</v>
      </c>
      <c r="E44" t="s">
        <v>13</v>
      </c>
      <c r="F44" t="s">
        <v>41</v>
      </c>
      <c r="G44">
        <v>1</v>
      </c>
      <c r="H44" s="1">
        <v>8432071</v>
      </c>
      <c r="I44" s="1">
        <v>6745656</v>
      </c>
      <c r="J44" t="s">
        <v>22</v>
      </c>
      <c r="K44" s="1">
        <f>Tabla1[[#This Row],[cantidad]]*Tabla1[[#This Row],[precio_unitario]]</f>
        <v>8432071</v>
      </c>
      <c r="L44" s="1">
        <f>Tabla1[[#This Row],[cantidad]]*Tabla1[[#This Row],[costo_unitario]]</f>
        <v>6745656</v>
      </c>
      <c r="M44" s="1">
        <f>Tabla1[[#This Row],[venta_total]]-Tabla1[[#This Row],[costo_total]]</f>
        <v>1686415</v>
      </c>
      <c r="N44" s="3">
        <f>Tabla1[[#This Row],[margen]]/Tabla1[[#This Row],[venta_total]]</f>
        <v>0.20000009487586146</v>
      </c>
    </row>
    <row r="45" spans="1:14" x14ac:dyDescent="0.25">
      <c r="A45" s="2">
        <v>45416</v>
      </c>
      <c r="B45" t="s">
        <v>34</v>
      </c>
      <c r="C45" t="s">
        <v>11</v>
      </c>
      <c r="D45" t="s">
        <v>38</v>
      </c>
      <c r="E45" t="s">
        <v>20</v>
      </c>
      <c r="F45" t="s">
        <v>42</v>
      </c>
      <c r="G45">
        <v>1</v>
      </c>
      <c r="H45" s="1">
        <v>2641686</v>
      </c>
      <c r="I45" s="1">
        <v>1902013</v>
      </c>
      <c r="J45" t="s">
        <v>29</v>
      </c>
      <c r="K45" s="1">
        <f>Tabla1[[#This Row],[cantidad]]*Tabla1[[#This Row],[precio_unitario]]</f>
        <v>2641686</v>
      </c>
      <c r="L45" s="1">
        <f>Tabla1[[#This Row],[cantidad]]*Tabla1[[#This Row],[costo_unitario]]</f>
        <v>1902013</v>
      </c>
      <c r="M45" s="1">
        <f>Tabla1[[#This Row],[venta_total]]-Tabla1[[#This Row],[costo_total]]</f>
        <v>739673</v>
      </c>
      <c r="N45" s="3">
        <f>Tabla1[[#This Row],[margen]]/Tabla1[[#This Row],[venta_total]]</f>
        <v>0.28000034826243542</v>
      </c>
    </row>
    <row r="46" spans="1:14" x14ac:dyDescent="0.25">
      <c r="A46" s="2">
        <v>45375</v>
      </c>
      <c r="B46" t="s">
        <v>18</v>
      </c>
      <c r="C46" t="s">
        <v>11</v>
      </c>
      <c r="D46" t="s">
        <v>12</v>
      </c>
      <c r="E46" t="s">
        <v>20</v>
      </c>
      <c r="F46" t="s">
        <v>37</v>
      </c>
      <c r="G46">
        <v>1</v>
      </c>
      <c r="H46" s="1">
        <v>1964924</v>
      </c>
      <c r="I46" s="1">
        <v>1473693</v>
      </c>
      <c r="J46" t="s">
        <v>15</v>
      </c>
      <c r="K46" s="1">
        <f>Tabla1[[#This Row],[cantidad]]*Tabla1[[#This Row],[precio_unitario]]</f>
        <v>1964924</v>
      </c>
      <c r="L46" s="1">
        <f>Tabla1[[#This Row],[cantidad]]*Tabla1[[#This Row],[costo_unitario]]</f>
        <v>1473693</v>
      </c>
      <c r="M46" s="1">
        <f>Tabla1[[#This Row],[venta_total]]-Tabla1[[#This Row],[costo_total]]</f>
        <v>491231</v>
      </c>
      <c r="N46" s="3">
        <f>Tabla1[[#This Row],[margen]]/Tabla1[[#This Row],[venta_total]]</f>
        <v>0.25</v>
      </c>
    </row>
    <row r="47" spans="1:14" x14ac:dyDescent="0.25">
      <c r="A47" s="2">
        <v>45349</v>
      </c>
      <c r="B47" t="s">
        <v>34</v>
      </c>
      <c r="C47" t="s">
        <v>11</v>
      </c>
      <c r="D47" t="s">
        <v>12</v>
      </c>
      <c r="E47" t="s">
        <v>13</v>
      </c>
      <c r="F47" t="s">
        <v>14</v>
      </c>
      <c r="G47">
        <v>1</v>
      </c>
      <c r="H47" s="1">
        <v>4722516</v>
      </c>
      <c r="I47" s="1">
        <v>3778012</v>
      </c>
      <c r="J47" t="s">
        <v>15</v>
      </c>
      <c r="K47" s="1">
        <f>Tabla1[[#This Row],[cantidad]]*Tabla1[[#This Row],[precio_unitario]]</f>
        <v>4722516</v>
      </c>
      <c r="L47" s="1">
        <f>Tabla1[[#This Row],[cantidad]]*Tabla1[[#This Row],[costo_unitario]]</f>
        <v>3778012</v>
      </c>
      <c r="M47" s="1">
        <f>Tabla1[[#This Row],[venta_total]]-Tabla1[[#This Row],[costo_total]]</f>
        <v>944504</v>
      </c>
      <c r="N47" s="3">
        <f>Tabla1[[#This Row],[margen]]/Tabla1[[#This Row],[venta_total]]</f>
        <v>0.20000016940122595</v>
      </c>
    </row>
    <row r="48" spans="1:14" x14ac:dyDescent="0.25">
      <c r="A48" s="2">
        <v>45435</v>
      </c>
      <c r="B48" t="s">
        <v>10</v>
      </c>
      <c r="C48" t="s">
        <v>11</v>
      </c>
      <c r="D48" t="s">
        <v>19</v>
      </c>
      <c r="E48" t="s">
        <v>16</v>
      </c>
      <c r="F48" t="s">
        <v>35</v>
      </c>
      <c r="G48">
        <v>3</v>
      </c>
      <c r="H48" s="1">
        <v>1164980</v>
      </c>
      <c r="I48" s="1">
        <v>757237</v>
      </c>
      <c r="J48" t="s">
        <v>29</v>
      </c>
      <c r="K48" s="1">
        <f>Tabla1[[#This Row],[cantidad]]*Tabla1[[#This Row],[precio_unitario]]</f>
        <v>3494940</v>
      </c>
      <c r="L48" s="1">
        <f>Tabla1[[#This Row],[cantidad]]*Tabla1[[#This Row],[costo_unitario]]</f>
        <v>2271711</v>
      </c>
      <c r="M48" s="1">
        <f>Tabla1[[#This Row],[venta_total]]-Tabla1[[#This Row],[costo_total]]</f>
        <v>1223229</v>
      </c>
      <c r="N48" s="3">
        <f>Tabla1[[#This Row],[margen]]/Tabla1[[#This Row],[venta_total]]</f>
        <v>0.35</v>
      </c>
    </row>
    <row r="49" spans="1:14" x14ac:dyDescent="0.25">
      <c r="A49" s="2">
        <v>45314</v>
      </c>
      <c r="B49" t="s">
        <v>18</v>
      </c>
      <c r="C49" t="s">
        <v>11</v>
      </c>
      <c r="D49" t="s">
        <v>26</v>
      </c>
      <c r="E49" t="s">
        <v>20</v>
      </c>
      <c r="F49" t="s">
        <v>36</v>
      </c>
      <c r="G49">
        <v>1</v>
      </c>
      <c r="H49" s="1">
        <v>2672303</v>
      </c>
      <c r="I49" s="1">
        <v>2004227</v>
      </c>
      <c r="J49" t="s">
        <v>31</v>
      </c>
      <c r="K49" s="1">
        <f>Tabla1[[#This Row],[cantidad]]*Tabla1[[#This Row],[precio_unitario]]</f>
        <v>2672303</v>
      </c>
      <c r="L49" s="1">
        <f>Tabla1[[#This Row],[cantidad]]*Tabla1[[#This Row],[costo_unitario]]</f>
        <v>2004227</v>
      </c>
      <c r="M49" s="1">
        <f>Tabla1[[#This Row],[venta_total]]-Tabla1[[#This Row],[costo_total]]</f>
        <v>668076</v>
      </c>
      <c r="N49" s="3">
        <f>Tabla1[[#This Row],[margen]]/Tabla1[[#This Row],[venta_total]]</f>
        <v>0.2500000935522656</v>
      </c>
    </row>
    <row r="50" spans="1:14" x14ac:dyDescent="0.25">
      <c r="A50" s="2">
        <v>45421</v>
      </c>
      <c r="B50" t="s">
        <v>32</v>
      </c>
      <c r="C50" t="s">
        <v>11</v>
      </c>
      <c r="D50" t="s">
        <v>26</v>
      </c>
      <c r="E50" t="s">
        <v>16</v>
      </c>
      <c r="F50" t="s">
        <v>40</v>
      </c>
      <c r="G50">
        <v>1</v>
      </c>
      <c r="H50" s="1">
        <v>4028680</v>
      </c>
      <c r="I50" s="1">
        <v>3142370</v>
      </c>
      <c r="J50" t="s">
        <v>25</v>
      </c>
      <c r="K50" s="1">
        <f>Tabla1[[#This Row],[cantidad]]*Tabla1[[#This Row],[precio_unitario]]</f>
        <v>4028680</v>
      </c>
      <c r="L50" s="1">
        <f>Tabla1[[#This Row],[cantidad]]*Tabla1[[#This Row],[costo_unitario]]</f>
        <v>3142370</v>
      </c>
      <c r="M50" s="1">
        <f>Tabla1[[#This Row],[venta_total]]-Tabla1[[#This Row],[costo_total]]</f>
        <v>886310</v>
      </c>
      <c r="N50" s="3">
        <f>Tabla1[[#This Row],[margen]]/Tabla1[[#This Row],[venta_total]]</f>
        <v>0.22000009928810429</v>
      </c>
    </row>
    <row r="51" spans="1:14" x14ac:dyDescent="0.25">
      <c r="A51" s="2">
        <v>45371</v>
      </c>
      <c r="B51" t="s">
        <v>34</v>
      </c>
      <c r="C51" t="s">
        <v>11</v>
      </c>
      <c r="D51" t="s">
        <v>26</v>
      </c>
      <c r="E51" t="s">
        <v>20</v>
      </c>
      <c r="F51" t="s">
        <v>36</v>
      </c>
      <c r="G51">
        <v>1</v>
      </c>
      <c r="H51" s="1">
        <v>2752095</v>
      </c>
      <c r="I51" s="1">
        <v>2064071</v>
      </c>
      <c r="J51" t="s">
        <v>22</v>
      </c>
      <c r="K51" s="1">
        <f>Tabla1[[#This Row],[cantidad]]*Tabla1[[#This Row],[precio_unitario]]</f>
        <v>2752095</v>
      </c>
      <c r="L51" s="1">
        <f>Tabla1[[#This Row],[cantidad]]*Tabla1[[#This Row],[costo_unitario]]</f>
        <v>2064071</v>
      </c>
      <c r="M51" s="1">
        <f>Tabla1[[#This Row],[venta_total]]-Tabla1[[#This Row],[costo_total]]</f>
        <v>688024</v>
      </c>
      <c r="N51" s="3">
        <f>Tabla1[[#This Row],[margen]]/Tabla1[[#This Row],[venta_total]]</f>
        <v>0.25000009083988745</v>
      </c>
    </row>
    <row r="52" spans="1:14" x14ac:dyDescent="0.25">
      <c r="A52" s="2">
        <v>45363</v>
      </c>
      <c r="B52" t="s">
        <v>10</v>
      </c>
      <c r="C52" t="s">
        <v>11</v>
      </c>
      <c r="D52" t="s">
        <v>38</v>
      </c>
      <c r="E52" t="s">
        <v>20</v>
      </c>
      <c r="F52" t="s">
        <v>42</v>
      </c>
      <c r="G52">
        <v>1</v>
      </c>
      <c r="H52" s="1">
        <v>2710709</v>
      </c>
      <c r="I52" s="1">
        <v>1951710</v>
      </c>
      <c r="J52" t="s">
        <v>25</v>
      </c>
      <c r="K52" s="1">
        <f>Tabla1[[#This Row],[cantidad]]*Tabla1[[#This Row],[precio_unitario]]</f>
        <v>2710709</v>
      </c>
      <c r="L52" s="1">
        <f>Tabla1[[#This Row],[cantidad]]*Tabla1[[#This Row],[costo_unitario]]</f>
        <v>1951710</v>
      </c>
      <c r="M52" s="1">
        <f>Tabla1[[#This Row],[venta_total]]-Tabla1[[#This Row],[costo_total]]</f>
        <v>758999</v>
      </c>
      <c r="N52" s="3">
        <f>Tabla1[[#This Row],[margen]]/Tabla1[[#This Row],[venta_total]]</f>
        <v>0.28000017707544411</v>
      </c>
    </row>
    <row r="53" spans="1:14" x14ac:dyDescent="0.25">
      <c r="A53" s="2">
        <v>45339</v>
      </c>
      <c r="B53" t="s">
        <v>18</v>
      </c>
      <c r="C53" t="s">
        <v>11</v>
      </c>
      <c r="D53" t="s">
        <v>26</v>
      </c>
      <c r="E53" t="s">
        <v>16</v>
      </c>
      <c r="F53" t="s">
        <v>40</v>
      </c>
      <c r="G53">
        <v>1</v>
      </c>
      <c r="H53" s="1">
        <v>4125419</v>
      </c>
      <c r="I53" s="1">
        <v>3217826</v>
      </c>
      <c r="J53" t="s">
        <v>25</v>
      </c>
      <c r="K53" s="1">
        <f>Tabla1[[#This Row],[cantidad]]*Tabla1[[#This Row],[precio_unitario]]</f>
        <v>4125419</v>
      </c>
      <c r="L53" s="1">
        <f>Tabla1[[#This Row],[cantidad]]*Tabla1[[#This Row],[costo_unitario]]</f>
        <v>3217826</v>
      </c>
      <c r="M53" s="1">
        <f>Tabla1[[#This Row],[venta_total]]-Tabla1[[#This Row],[costo_total]]</f>
        <v>907593</v>
      </c>
      <c r="N53" s="3">
        <f>Tabla1[[#This Row],[margen]]/Tabla1[[#This Row],[venta_total]]</f>
        <v>0.22000019876768881</v>
      </c>
    </row>
    <row r="54" spans="1:14" x14ac:dyDescent="0.25">
      <c r="A54" s="2">
        <v>45299</v>
      </c>
      <c r="B54" t="s">
        <v>32</v>
      </c>
      <c r="C54" t="s">
        <v>11</v>
      </c>
      <c r="D54" t="s">
        <v>26</v>
      </c>
      <c r="E54" t="s">
        <v>16</v>
      </c>
      <c r="F54" t="s">
        <v>40</v>
      </c>
      <c r="G54">
        <v>1</v>
      </c>
      <c r="H54" s="1">
        <v>3516103</v>
      </c>
      <c r="I54" s="1">
        <v>2742560</v>
      </c>
      <c r="J54" t="s">
        <v>25</v>
      </c>
      <c r="K54" s="1">
        <f>Tabla1[[#This Row],[cantidad]]*Tabla1[[#This Row],[precio_unitario]]</f>
        <v>3516103</v>
      </c>
      <c r="L54" s="1">
        <f>Tabla1[[#This Row],[cantidad]]*Tabla1[[#This Row],[costo_unitario]]</f>
        <v>2742560</v>
      </c>
      <c r="M54" s="1">
        <f>Tabla1[[#This Row],[venta_total]]-Tabla1[[#This Row],[costo_total]]</f>
        <v>773543</v>
      </c>
      <c r="N54" s="3">
        <f>Tabla1[[#This Row],[margen]]/Tabla1[[#This Row],[venta_total]]</f>
        <v>0.22000009669796364</v>
      </c>
    </row>
    <row r="55" spans="1:14" x14ac:dyDescent="0.25">
      <c r="A55" s="2">
        <v>45328</v>
      </c>
      <c r="B55" t="s">
        <v>18</v>
      </c>
      <c r="C55" t="s">
        <v>11</v>
      </c>
      <c r="D55" t="s">
        <v>26</v>
      </c>
      <c r="E55" t="s">
        <v>20</v>
      </c>
      <c r="F55" t="s">
        <v>36</v>
      </c>
      <c r="G55">
        <v>1</v>
      </c>
      <c r="H55" s="1">
        <v>2925739</v>
      </c>
      <c r="I55" s="1">
        <v>2194304</v>
      </c>
      <c r="J55" t="s">
        <v>29</v>
      </c>
      <c r="K55" s="1">
        <f>Tabla1[[#This Row],[cantidad]]*Tabla1[[#This Row],[precio_unitario]]</f>
        <v>2925739</v>
      </c>
      <c r="L55" s="1">
        <f>Tabla1[[#This Row],[cantidad]]*Tabla1[[#This Row],[costo_unitario]]</f>
        <v>2194304</v>
      </c>
      <c r="M55" s="1">
        <f>Tabla1[[#This Row],[venta_total]]-Tabla1[[#This Row],[costo_total]]</f>
        <v>731435</v>
      </c>
      <c r="N55" s="3">
        <f>Tabla1[[#This Row],[margen]]/Tabla1[[#This Row],[venta_total]]</f>
        <v>0.25000008544849694</v>
      </c>
    </row>
    <row r="56" spans="1:14" x14ac:dyDescent="0.25">
      <c r="A56" s="2">
        <v>45403</v>
      </c>
      <c r="B56" t="s">
        <v>18</v>
      </c>
      <c r="C56" t="s">
        <v>11</v>
      </c>
      <c r="D56" t="s">
        <v>23</v>
      </c>
      <c r="E56" t="s">
        <v>13</v>
      </c>
      <c r="F56" t="s">
        <v>28</v>
      </c>
      <c r="G56">
        <v>1</v>
      </c>
      <c r="H56" s="1">
        <v>2846231</v>
      </c>
      <c r="I56" s="1">
        <v>2276984</v>
      </c>
      <c r="J56" t="s">
        <v>22</v>
      </c>
      <c r="K56" s="1">
        <f>Tabla1[[#This Row],[cantidad]]*Tabla1[[#This Row],[precio_unitario]]</f>
        <v>2846231</v>
      </c>
      <c r="L56" s="1">
        <f>Tabla1[[#This Row],[cantidad]]*Tabla1[[#This Row],[costo_unitario]]</f>
        <v>2276984</v>
      </c>
      <c r="M56" s="1">
        <f>Tabla1[[#This Row],[venta_total]]-Tabla1[[#This Row],[costo_total]]</f>
        <v>569247</v>
      </c>
      <c r="N56" s="3">
        <f>Tabla1[[#This Row],[margen]]/Tabla1[[#This Row],[venta_total]]</f>
        <v>0.20000028107346171</v>
      </c>
    </row>
    <row r="57" spans="1:14" x14ac:dyDescent="0.25">
      <c r="A57" s="2">
        <v>45321</v>
      </c>
      <c r="B57" t="s">
        <v>10</v>
      </c>
      <c r="C57" t="s">
        <v>11</v>
      </c>
      <c r="D57" t="s">
        <v>26</v>
      </c>
      <c r="E57" t="s">
        <v>13</v>
      </c>
      <c r="F57" t="s">
        <v>27</v>
      </c>
      <c r="G57">
        <v>1</v>
      </c>
      <c r="H57" s="1">
        <v>9402633</v>
      </c>
      <c r="I57" s="1">
        <v>7522106</v>
      </c>
      <c r="J57" t="s">
        <v>15</v>
      </c>
      <c r="K57" s="1">
        <f>Tabla1[[#This Row],[cantidad]]*Tabla1[[#This Row],[precio_unitario]]</f>
        <v>9402633</v>
      </c>
      <c r="L57" s="1">
        <f>Tabla1[[#This Row],[cantidad]]*Tabla1[[#This Row],[costo_unitario]]</f>
        <v>7522106</v>
      </c>
      <c r="M57" s="1">
        <f>Tabla1[[#This Row],[venta_total]]-Tabla1[[#This Row],[costo_total]]</f>
        <v>1880527</v>
      </c>
      <c r="N57" s="3">
        <f>Tabla1[[#This Row],[margen]]/Tabla1[[#This Row],[venta_total]]</f>
        <v>0.2000000425412754</v>
      </c>
    </row>
    <row r="58" spans="1:14" x14ac:dyDescent="0.25">
      <c r="A58" s="2">
        <v>45323</v>
      </c>
      <c r="B58" t="s">
        <v>18</v>
      </c>
      <c r="C58" t="s">
        <v>11</v>
      </c>
      <c r="D58" t="s">
        <v>38</v>
      </c>
      <c r="E58" t="s">
        <v>16</v>
      </c>
      <c r="F58" t="s">
        <v>39</v>
      </c>
      <c r="G58">
        <v>1</v>
      </c>
      <c r="H58" s="1">
        <v>5393310</v>
      </c>
      <c r="I58" s="1">
        <v>4044982</v>
      </c>
      <c r="J58" t="s">
        <v>31</v>
      </c>
      <c r="K58" s="1">
        <f>Tabla1[[#This Row],[cantidad]]*Tabla1[[#This Row],[precio_unitario]]</f>
        <v>5393310</v>
      </c>
      <c r="L58" s="1">
        <f>Tabla1[[#This Row],[cantidad]]*Tabla1[[#This Row],[costo_unitario]]</f>
        <v>4044982</v>
      </c>
      <c r="M58" s="1">
        <f>Tabla1[[#This Row],[venta_total]]-Tabla1[[#This Row],[costo_total]]</f>
        <v>1348328</v>
      </c>
      <c r="N58" s="3">
        <f>Tabla1[[#This Row],[margen]]/Tabla1[[#This Row],[venta_total]]</f>
        <v>0.25000009270744683</v>
      </c>
    </row>
    <row r="59" spans="1:14" x14ac:dyDescent="0.25">
      <c r="A59" s="2">
        <v>45430</v>
      </c>
      <c r="B59" t="s">
        <v>34</v>
      </c>
      <c r="C59" t="s">
        <v>11</v>
      </c>
      <c r="D59" t="s">
        <v>19</v>
      </c>
      <c r="E59" t="s">
        <v>16</v>
      </c>
      <c r="F59" t="s">
        <v>35</v>
      </c>
      <c r="G59">
        <v>3</v>
      </c>
      <c r="H59" s="1">
        <v>1013937</v>
      </c>
      <c r="I59" s="1">
        <v>659059</v>
      </c>
      <c r="J59" t="s">
        <v>29</v>
      </c>
      <c r="K59" s="1">
        <f>Tabla1[[#This Row],[cantidad]]*Tabla1[[#This Row],[precio_unitario]]</f>
        <v>3041811</v>
      </c>
      <c r="L59" s="1">
        <f>Tabla1[[#This Row],[cantidad]]*Tabla1[[#This Row],[costo_unitario]]</f>
        <v>1977177</v>
      </c>
      <c r="M59" s="1">
        <f>Tabla1[[#This Row],[venta_total]]-Tabla1[[#This Row],[costo_total]]</f>
        <v>1064634</v>
      </c>
      <c r="N59" s="3">
        <f>Tabla1[[#This Row],[margen]]/Tabla1[[#This Row],[venta_total]]</f>
        <v>0.35000004931272849</v>
      </c>
    </row>
    <row r="60" spans="1:14" x14ac:dyDescent="0.25">
      <c r="A60" s="2">
        <v>45469</v>
      </c>
      <c r="B60" t="s">
        <v>34</v>
      </c>
      <c r="C60" t="s">
        <v>11</v>
      </c>
      <c r="D60" t="s">
        <v>26</v>
      </c>
      <c r="E60" t="s">
        <v>16</v>
      </c>
      <c r="F60" t="s">
        <v>40</v>
      </c>
      <c r="G60">
        <v>1</v>
      </c>
      <c r="H60" s="1">
        <v>3825536</v>
      </c>
      <c r="I60" s="1">
        <v>2983918</v>
      </c>
      <c r="J60" t="s">
        <v>22</v>
      </c>
      <c r="K60" s="1">
        <f>Tabla1[[#This Row],[cantidad]]*Tabla1[[#This Row],[precio_unitario]]</f>
        <v>3825536</v>
      </c>
      <c r="L60" s="1">
        <f>Tabla1[[#This Row],[cantidad]]*Tabla1[[#This Row],[costo_unitario]]</f>
        <v>2983918</v>
      </c>
      <c r="M60" s="1">
        <f>Tabla1[[#This Row],[venta_total]]-Tabla1[[#This Row],[costo_total]]</f>
        <v>841618</v>
      </c>
      <c r="N60" s="3">
        <f>Tabla1[[#This Row],[margen]]/Tabla1[[#This Row],[venta_total]]</f>
        <v>0.22000002091210225</v>
      </c>
    </row>
    <row r="61" spans="1:14" x14ac:dyDescent="0.25">
      <c r="A61" s="2">
        <v>45384</v>
      </c>
      <c r="B61" t="s">
        <v>32</v>
      </c>
      <c r="C61" t="s">
        <v>11</v>
      </c>
      <c r="D61" t="s">
        <v>12</v>
      </c>
      <c r="E61" t="s">
        <v>20</v>
      </c>
      <c r="F61" t="s">
        <v>37</v>
      </c>
      <c r="G61">
        <v>1</v>
      </c>
      <c r="H61" s="1">
        <v>1764389</v>
      </c>
      <c r="I61" s="1">
        <v>1323291</v>
      </c>
      <c r="J61" t="s">
        <v>15</v>
      </c>
      <c r="K61" s="1">
        <f>Tabla1[[#This Row],[cantidad]]*Tabla1[[#This Row],[precio_unitario]]</f>
        <v>1764389</v>
      </c>
      <c r="L61" s="1">
        <f>Tabla1[[#This Row],[cantidad]]*Tabla1[[#This Row],[costo_unitario]]</f>
        <v>1323291</v>
      </c>
      <c r="M61" s="1">
        <f>Tabla1[[#This Row],[venta_total]]-Tabla1[[#This Row],[costo_total]]</f>
        <v>441098</v>
      </c>
      <c r="N61" s="3">
        <f>Tabla1[[#This Row],[margen]]/Tabla1[[#This Row],[venta_total]]</f>
        <v>0.25000042507632952</v>
      </c>
    </row>
    <row r="62" spans="1:14" x14ac:dyDescent="0.25">
      <c r="A62" s="2">
        <v>45396</v>
      </c>
      <c r="B62" t="s">
        <v>34</v>
      </c>
      <c r="C62" t="s">
        <v>11</v>
      </c>
      <c r="D62" t="s">
        <v>26</v>
      </c>
      <c r="E62" t="s">
        <v>13</v>
      </c>
      <c r="F62" t="s">
        <v>27</v>
      </c>
      <c r="G62">
        <v>1</v>
      </c>
      <c r="H62" s="1">
        <v>8350531</v>
      </c>
      <c r="I62" s="1">
        <v>6680424</v>
      </c>
      <c r="J62" t="s">
        <v>22</v>
      </c>
      <c r="K62" s="1">
        <f>Tabla1[[#This Row],[cantidad]]*Tabla1[[#This Row],[precio_unitario]]</f>
        <v>8350531</v>
      </c>
      <c r="L62" s="1">
        <f>Tabla1[[#This Row],[cantidad]]*Tabla1[[#This Row],[costo_unitario]]</f>
        <v>6680424</v>
      </c>
      <c r="M62" s="1">
        <f>Tabla1[[#This Row],[venta_total]]-Tabla1[[#This Row],[costo_total]]</f>
        <v>1670107</v>
      </c>
      <c r="N62" s="3">
        <f>Tabla1[[#This Row],[margen]]/Tabla1[[#This Row],[venta_total]]</f>
        <v>0.20000009580229089</v>
      </c>
    </row>
    <row r="63" spans="1:14" x14ac:dyDescent="0.25">
      <c r="A63" s="2">
        <v>45448</v>
      </c>
      <c r="B63" t="s">
        <v>32</v>
      </c>
      <c r="C63" t="s">
        <v>11</v>
      </c>
      <c r="D63" t="s">
        <v>38</v>
      </c>
      <c r="E63" t="s">
        <v>13</v>
      </c>
      <c r="F63" t="s">
        <v>41</v>
      </c>
      <c r="G63">
        <v>1</v>
      </c>
      <c r="H63" s="1">
        <v>8279118</v>
      </c>
      <c r="I63" s="1">
        <v>6623294</v>
      </c>
      <c r="J63" t="s">
        <v>15</v>
      </c>
      <c r="K63" s="1">
        <f>Tabla1[[#This Row],[cantidad]]*Tabla1[[#This Row],[precio_unitario]]</f>
        <v>8279118</v>
      </c>
      <c r="L63" s="1">
        <f>Tabla1[[#This Row],[cantidad]]*Tabla1[[#This Row],[costo_unitario]]</f>
        <v>6623294</v>
      </c>
      <c r="M63" s="1">
        <f>Tabla1[[#This Row],[venta_total]]-Tabla1[[#This Row],[costo_total]]</f>
        <v>1655824</v>
      </c>
      <c r="N63" s="3">
        <f>Tabla1[[#This Row],[margen]]/Tabla1[[#This Row],[venta_total]]</f>
        <v>0.20000004831432527</v>
      </c>
    </row>
    <row r="64" spans="1:14" x14ac:dyDescent="0.25">
      <c r="A64" s="2">
        <v>45310</v>
      </c>
      <c r="B64" t="s">
        <v>32</v>
      </c>
      <c r="C64" t="s">
        <v>11</v>
      </c>
      <c r="D64" t="s">
        <v>23</v>
      </c>
      <c r="E64" t="s">
        <v>20</v>
      </c>
      <c r="F64" t="s">
        <v>30</v>
      </c>
      <c r="G64">
        <v>1</v>
      </c>
      <c r="H64" s="1">
        <v>1242655</v>
      </c>
      <c r="I64" s="1">
        <v>869858</v>
      </c>
      <c r="J64" t="s">
        <v>29</v>
      </c>
      <c r="K64" s="1">
        <f>Tabla1[[#This Row],[cantidad]]*Tabla1[[#This Row],[precio_unitario]]</f>
        <v>1242655</v>
      </c>
      <c r="L64" s="1">
        <f>Tabla1[[#This Row],[cantidad]]*Tabla1[[#This Row],[costo_unitario]]</f>
        <v>869858</v>
      </c>
      <c r="M64" s="1">
        <f>Tabla1[[#This Row],[venta_total]]-Tabla1[[#This Row],[costo_total]]</f>
        <v>372797</v>
      </c>
      <c r="N64" s="3">
        <f>Tabla1[[#This Row],[margen]]/Tabla1[[#This Row],[venta_total]]</f>
        <v>0.3000004023642926</v>
      </c>
    </row>
    <row r="65" spans="1:14" x14ac:dyDescent="0.25">
      <c r="A65" s="2">
        <v>45382</v>
      </c>
      <c r="B65" t="s">
        <v>10</v>
      </c>
      <c r="C65" t="s">
        <v>11</v>
      </c>
      <c r="D65" t="s">
        <v>12</v>
      </c>
      <c r="E65" t="s">
        <v>16</v>
      </c>
      <c r="F65" t="s">
        <v>17</v>
      </c>
      <c r="G65">
        <v>1</v>
      </c>
      <c r="H65" s="1">
        <v>3492281</v>
      </c>
      <c r="I65" s="1">
        <v>2723979</v>
      </c>
      <c r="J65" t="s">
        <v>31</v>
      </c>
      <c r="K65" s="1">
        <f>Tabla1[[#This Row],[cantidad]]*Tabla1[[#This Row],[precio_unitario]]</f>
        <v>3492281</v>
      </c>
      <c r="L65" s="1">
        <f>Tabla1[[#This Row],[cantidad]]*Tabla1[[#This Row],[costo_unitario]]</f>
        <v>2723979</v>
      </c>
      <c r="M65" s="1">
        <f>Tabla1[[#This Row],[venta_total]]-Tabla1[[#This Row],[costo_total]]</f>
        <v>768302</v>
      </c>
      <c r="N65" s="3">
        <f>Tabla1[[#This Row],[margen]]/Tabla1[[#This Row],[venta_total]]</f>
        <v>0.22000005154224417</v>
      </c>
    </row>
    <row r="66" spans="1:14" x14ac:dyDescent="0.25">
      <c r="A66" s="2">
        <v>45402</v>
      </c>
      <c r="B66" t="s">
        <v>32</v>
      </c>
      <c r="C66" t="s">
        <v>11</v>
      </c>
      <c r="D66" t="s">
        <v>19</v>
      </c>
      <c r="E66" t="s">
        <v>20</v>
      </c>
      <c r="F66" t="s">
        <v>21</v>
      </c>
      <c r="G66">
        <v>2</v>
      </c>
      <c r="H66" s="1">
        <v>291916</v>
      </c>
      <c r="I66" s="1">
        <v>175149</v>
      </c>
      <c r="J66" t="s">
        <v>29</v>
      </c>
      <c r="K66" s="1">
        <f>Tabla1[[#This Row],[cantidad]]*Tabla1[[#This Row],[precio_unitario]]</f>
        <v>583832</v>
      </c>
      <c r="L66" s="1">
        <f>Tabla1[[#This Row],[cantidad]]*Tabla1[[#This Row],[costo_unitario]]</f>
        <v>350298</v>
      </c>
      <c r="M66" s="1">
        <f>Tabla1[[#This Row],[venta_total]]-Tabla1[[#This Row],[costo_total]]</f>
        <v>233534</v>
      </c>
      <c r="N66" s="3">
        <f>Tabla1[[#This Row],[margen]]/Tabla1[[#This Row],[venta_total]]</f>
        <v>0.40000205538579592</v>
      </c>
    </row>
    <row r="67" spans="1:14" x14ac:dyDescent="0.25">
      <c r="A67" s="2">
        <v>45393</v>
      </c>
      <c r="B67" t="s">
        <v>18</v>
      </c>
      <c r="C67" t="s">
        <v>11</v>
      </c>
      <c r="D67" t="s">
        <v>12</v>
      </c>
      <c r="E67" t="s">
        <v>16</v>
      </c>
      <c r="F67" t="s">
        <v>17</v>
      </c>
      <c r="G67">
        <v>1</v>
      </c>
      <c r="H67" s="1">
        <v>3612599</v>
      </c>
      <c r="I67" s="1">
        <v>2817827</v>
      </c>
      <c r="J67" t="s">
        <v>29</v>
      </c>
      <c r="K67" s="1">
        <f>Tabla1[[#This Row],[cantidad]]*Tabla1[[#This Row],[precio_unitario]]</f>
        <v>3612599</v>
      </c>
      <c r="L67" s="1">
        <f>Tabla1[[#This Row],[cantidad]]*Tabla1[[#This Row],[costo_unitario]]</f>
        <v>2817827</v>
      </c>
      <c r="M67" s="1">
        <f>Tabla1[[#This Row],[venta_total]]-Tabla1[[#This Row],[costo_total]]</f>
        <v>794772</v>
      </c>
      <c r="N67" s="3">
        <f>Tabla1[[#This Row],[margen]]/Tabla1[[#This Row],[venta_total]]</f>
        <v>0.22000006089798507</v>
      </c>
    </row>
    <row r="68" spans="1:14" x14ac:dyDescent="0.25">
      <c r="A68" s="2">
        <v>45436</v>
      </c>
      <c r="B68" t="s">
        <v>32</v>
      </c>
      <c r="C68" t="s">
        <v>11</v>
      </c>
      <c r="D68" t="s">
        <v>12</v>
      </c>
      <c r="E68" t="s">
        <v>13</v>
      </c>
      <c r="F68" t="s">
        <v>14</v>
      </c>
      <c r="G68">
        <v>1</v>
      </c>
      <c r="H68" s="1">
        <v>5142986</v>
      </c>
      <c r="I68" s="1">
        <v>4114388</v>
      </c>
      <c r="J68" t="s">
        <v>31</v>
      </c>
      <c r="K68" s="1">
        <f>Tabla1[[#This Row],[cantidad]]*Tabla1[[#This Row],[precio_unitario]]</f>
        <v>5142986</v>
      </c>
      <c r="L68" s="1">
        <f>Tabla1[[#This Row],[cantidad]]*Tabla1[[#This Row],[costo_unitario]]</f>
        <v>4114388</v>
      </c>
      <c r="M68" s="1">
        <f>Tabla1[[#This Row],[venta_total]]-Tabla1[[#This Row],[costo_total]]</f>
        <v>1028598</v>
      </c>
      <c r="N68" s="3">
        <f>Tabla1[[#This Row],[margen]]/Tabla1[[#This Row],[venta_total]]</f>
        <v>0.20000015555165812</v>
      </c>
    </row>
    <row r="69" spans="1:14" x14ac:dyDescent="0.25">
      <c r="A69" s="2">
        <v>45344</v>
      </c>
      <c r="B69" t="s">
        <v>32</v>
      </c>
      <c r="C69" t="s">
        <v>11</v>
      </c>
      <c r="D69" t="s">
        <v>12</v>
      </c>
      <c r="E69" t="s">
        <v>16</v>
      </c>
      <c r="F69" t="s">
        <v>17</v>
      </c>
      <c r="G69">
        <v>1</v>
      </c>
      <c r="H69" s="1">
        <v>2857289</v>
      </c>
      <c r="I69" s="1">
        <v>2228685</v>
      </c>
      <c r="J69" t="s">
        <v>31</v>
      </c>
      <c r="K69" s="1">
        <f>Tabla1[[#This Row],[cantidad]]*Tabla1[[#This Row],[precio_unitario]]</f>
        <v>2857289</v>
      </c>
      <c r="L69" s="1">
        <f>Tabla1[[#This Row],[cantidad]]*Tabla1[[#This Row],[costo_unitario]]</f>
        <v>2228685</v>
      </c>
      <c r="M69" s="1">
        <f>Tabla1[[#This Row],[venta_total]]-Tabla1[[#This Row],[costo_total]]</f>
        <v>628604</v>
      </c>
      <c r="N69" s="3">
        <f>Tabla1[[#This Row],[margen]]/Tabla1[[#This Row],[venta_total]]</f>
        <v>0.22000014699248133</v>
      </c>
    </row>
    <row r="70" spans="1:14" x14ac:dyDescent="0.25">
      <c r="A70" s="2">
        <v>45375</v>
      </c>
      <c r="B70" t="s">
        <v>34</v>
      </c>
      <c r="C70" t="s">
        <v>11</v>
      </c>
      <c r="D70" t="s">
        <v>23</v>
      </c>
      <c r="E70" t="s">
        <v>16</v>
      </c>
      <c r="F70" t="s">
        <v>24</v>
      </c>
      <c r="G70">
        <v>1</v>
      </c>
      <c r="H70" s="1">
        <v>1400012</v>
      </c>
      <c r="I70" s="1">
        <v>1050009</v>
      </c>
      <c r="J70" t="s">
        <v>31</v>
      </c>
      <c r="K70" s="1">
        <f>Tabla1[[#This Row],[cantidad]]*Tabla1[[#This Row],[precio_unitario]]</f>
        <v>1400012</v>
      </c>
      <c r="L70" s="1">
        <f>Tabla1[[#This Row],[cantidad]]*Tabla1[[#This Row],[costo_unitario]]</f>
        <v>1050009</v>
      </c>
      <c r="M70" s="1">
        <f>Tabla1[[#This Row],[venta_total]]-Tabla1[[#This Row],[costo_total]]</f>
        <v>350003</v>
      </c>
      <c r="N70" s="3">
        <f>Tabla1[[#This Row],[margen]]/Tabla1[[#This Row],[venta_total]]</f>
        <v>0.25</v>
      </c>
    </row>
    <row r="71" spans="1:14" x14ac:dyDescent="0.25">
      <c r="A71" s="2">
        <v>45318</v>
      </c>
      <c r="B71" t="s">
        <v>10</v>
      </c>
      <c r="C71" t="s">
        <v>11</v>
      </c>
      <c r="D71" t="s">
        <v>38</v>
      </c>
      <c r="E71" t="s">
        <v>16</v>
      </c>
      <c r="F71" t="s">
        <v>39</v>
      </c>
      <c r="G71">
        <v>1</v>
      </c>
      <c r="H71" s="1">
        <v>4996432</v>
      </c>
      <c r="I71" s="1">
        <v>3747324</v>
      </c>
      <c r="J71" t="s">
        <v>15</v>
      </c>
      <c r="K71" s="1">
        <f>Tabla1[[#This Row],[cantidad]]*Tabla1[[#This Row],[precio_unitario]]</f>
        <v>4996432</v>
      </c>
      <c r="L71" s="1">
        <f>Tabla1[[#This Row],[cantidad]]*Tabla1[[#This Row],[costo_unitario]]</f>
        <v>3747324</v>
      </c>
      <c r="M71" s="1">
        <f>Tabla1[[#This Row],[venta_total]]-Tabla1[[#This Row],[costo_total]]</f>
        <v>1249108</v>
      </c>
      <c r="N71" s="3">
        <f>Tabla1[[#This Row],[margen]]/Tabla1[[#This Row],[venta_total]]</f>
        <v>0.25</v>
      </c>
    </row>
    <row r="72" spans="1:14" x14ac:dyDescent="0.25">
      <c r="A72" s="2">
        <v>45434</v>
      </c>
      <c r="B72" t="s">
        <v>18</v>
      </c>
      <c r="C72" t="s">
        <v>11</v>
      </c>
      <c r="D72" t="s">
        <v>19</v>
      </c>
      <c r="E72" t="s">
        <v>20</v>
      </c>
      <c r="F72" t="s">
        <v>21</v>
      </c>
      <c r="G72">
        <v>2</v>
      </c>
      <c r="H72" s="1">
        <v>570002</v>
      </c>
      <c r="I72" s="1">
        <v>342001</v>
      </c>
      <c r="J72" t="s">
        <v>29</v>
      </c>
      <c r="K72" s="1">
        <f>Tabla1[[#This Row],[cantidad]]*Tabla1[[#This Row],[precio_unitario]]</f>
        <v>1140004</v>
      </c>
      <c r="L72" s="1">
        <f>Tabla1[[#This Row],[cantidad]]*Tabla1[[#This Row],[costo_unitario]]</f>
        <v>684002</v>
      </c>
      <c r="M72" s="1">
        <f>Tabla1[[#This Row],[venta_total]]-Tabla1[[#This Row],[costo_total]]</f>
        <v>456002</v>
      </c>
      <c r="N72" s="3">
        <f>Tabla1[[#This Row],[margen]]/Tabla1[[#This Row],[venta_total]]</f>
        <v>0.40000035087596186</v>
      </c>
    </row>
    <row r="73" spans="1:14" x14ac:dyDescent="0.25">
      <c r="A73" s="2">
        <v>45389</v>
      </c>
      <c r="B73" t="s">
        <v>18</v>
      </c>
      <c r="C73" t="s">
        <v>11</v>
      </c>
      <c r="D73" t="s">
        <v>38</v>
      </c>
      <c r="E73" t="s">
        <v>13</v>
      </c>
      <c r="F73" t="s">
        <v>41</v>
      </c>
      <c r="G73">
        <v>1</v>
      </c>
      <c r="H73" s="1">
        <v>7631565</v>
      </c>
      <c r="I73" s="1">
        <v>6105252</v>
      </c>
      <c r="J73" t="s">
        <v>22</v>
      </c>
      <c r="K73" s="1">
        <f>Tabla1[[#This Row],[cantidad]]*Tabla1[[#This Row],[precio_unitario]]</f>
        <v>7631565</v>
      </c>
      <c r="L73" s="1">
        <f>Tabla1[[#This Row],[cantidad]]*Tabla1[[#This Row],[costo_unitario]]</f>
        <v>6105252</v>
      </c>
      <c r="M73" s="1">
        <f>Tabla1[[#This Row],[venta_total]]-Tabla1[[#This Row],[costo_total]]</f>
        <v>1526313</v>
      </c>
      <c r="N73" s="3">
        <f>Tabla1[[#This Row],[margen]]/Tabla1[[#This Row],[venta_total]]</f>
        <v>0.2</v>
      </c>
    </row>
    <row r="74" spans="1:14" x14ac:dyDescent="0.25">
      <c r="A74" s="2">
        <v>45336</v>
      </c>
      <c r="B74" t="s">
        <v>18</v>
      </c>
      <c r="C74" t="s">
        <v>11</v>
      </c>
      <c r="D74" t="s">
        <v>12</v>
      </c>
      <c r="E74" t="s">
        <v>16</v>
      </c>
      <c r="F74" t="s">
        <v>17</v>
      </c>
      <c r="G74">
        <v>1</v>
      </c>
      <c r="H74" s="1">
        <v>3027036</v>
      </c>
      <c r="I74" s="1">
        <v>2361088</v>
      </c>
      <c r="J74" t="s">
        <v>15</v>
      </c>
      <c r="K74" s="1">
        <f>Tabla1[[#This Row],[cantidad]]*Tabla1[[#This Row],[precio_unitario]]</f>
        <v>3027036</v>
      </c>
      <c r="L74" s="1">
        <f>Tabla1[[#This Row],[cantidad]]*Tabla1[[#This Row],[costo_unitario]]</f>
        <v>2361088</v>
      </c>
      <c r="M74" s="1">
        <f>Tabla1[[#This Row],[venta_total]]-Tabla1[[#This Row],[costo_total]]</f>
        <v>665948</v>
      </c>
      <c r="N74" s="3">
        <f>Tabla1[[#This Row],[margen]]/Tabla1[[#This Row],[venta_total]]</f>
        <v>0.22000002642849309</v>
      </c>
    </row>
    <row r="75" spans="1:14" x14ac:dyDescent="0.25">
      <c r="A75" s="2">
        <v>45317</v>
      </c>
      <c r="B75" t="s">
        <v>34</v>
      </c>
      <c r="C75" t="s">
        <v>11</v>
      </c>
      <c r="D75" t="s">
        <v>26</v>
      </c>
      <c r="E75" t="s">
        <v>13</v>
      </c>
      <c r="F75" t="s">
        <v>27</v>
      </c>
      <c r="G75">
        <v>1</v>
      </c>
      <c r="H75" s="1">
        <v>9153598</v>
      </c>
      <c r="I75" s="1">
        <v>7322878</v>
      </c>
      <c r="J75" t="s">
        <v>29</v>
      </c>
      <c r="K75" s="1">
        <f>Tabla1[[#This Row],[cantidad]]*Tabla1[[#This Row],[precio_unitario]]</f>
        <v>9153598</v>
      </c>
      <c r="L75" s="1">
        <f>Tabla1[[#This Row],[cantidad]]*Tabla1[[#This Row],[costo_unitario]]</f>
        <v>7322878</v>
      </c>
      <c r="M75" s="1">
        <f>Tabla1[[#This Row],[venta_total]]-Tabla1[[#This Row],[costo_total]]</f>
        <v>1830720</v>
      </c>
      <c r="N75" s="3">
        <f>Tabla1[[#This Row],[margen]]/Tabla1[[#This Row],[venta_total]]</f>
        <v>0.20000004369866364</v>
      </c>
    </row>
    <row r="76" spans="1:14" x14ac:dyDescent="0.25">
      <c r="A76" s="2">
        <v>45398</v>
      </c>
      <c r="B76" t="s">
        <v>10</v>
      </c>
      <c r="C76" t="s">
        <v>11</v>
      </c>
      <c r="D76" t="s">
        <v>12</v>
      </c>
      <c r="E76" t="s">
        <v>16</v>
      </c>
      <c r="F76" t="s">
        <v>17</v>
      </c>
      <c r="G76">
        <v>1</v>
      </c>
      <c r="H76" s="1">
        <v>3795070</v>
      </c>
      <c r="I76" s="1">
        <v>2960154</v>
      </c>
      <c r="J76" t="s">
        <v>29</v>
      </c>
      <c r="K76" s="1">
        <f>Tabla1[[#This Row],[cantidad]]*Tabla1[[#This Row],[precio_unitario]]</f>
        <v>3795070</v>
      </c>
      <c r="L76" s="1">
        <f>Tabla1[[#This Row],[cantidad]]*Tabla1[[#This Row],[costo_unitario]]</f>
        <v>2960154</v>
      </c>
      <c r="M76" s="1">
        <f>Tabla1[[#This Row],[venta_total]]-Tabla1[[#This Row],[costo_total]]</f>
        <v>834916</v>
      </c>
      <c r="N76" s="3">
        <f>Tabla1[[#This Row],[margen]]/Tabla1[[#This Row],[venta_total]]</f>
        <v>0.2200001580998506</v>
      </c>
    </row>
    <row r="77" spans="1:14" x14ac:dyDescent="0.25">
      <c r="A77" s="2">
        <v>45436</v>
      </c>
      <c r="B77" t="s">
        <v>32</v>
      </c>
      <c r="C77" t="s">
        <v>11</v>
      </c>
      <c r="D77" t="s">
        <v>19</v>
      </c>
      <c r="E77" t="s">
        <v>13</v>
      </c>
      <c r="F77" t="s">
        <v>33</v>
      </c>
      <c r="G77">
        <v>1</v>
      </c>
      <c r="H77" s="1">
        <v>1297715</v>
      </c>
      <c r="I77" s="1">
        <v>908400</v>
      </c>
      <c r="J77" t="s">
        <v>25</v>
      </c>
      <c r="K77" s="1">
        <f>Tabla1[[#This Row],[cantidad]]*Tabla1[[#This Row],[precio_unitario]]</f>
        <v>1297715</v>
      </c>
      <c r="L77" s="1">
        <f>Tabla1[[#This Row],[cantidad]]*Tabla1[[#This Row],[costo_unitario]]</f>
        <v>908400</v>
      </c>
      <c r="M77" s="1">
        <f>Tabla1[[#This Row],[venta_total]]-Tabla1[[#This Row],[costo_total]]</f>
        <v>389315</v>
      </c>
      <c r="N77" s="3">
        <f>Tabla1[[#This Row],[margen]]/Tabla1[[#This Row],[venta_total]]</f>
        <v>0.30000038529261047</v>
      </c>
    </row>
    <row r="78" spans="1:14" x14ac:dyDescent="0.25">
      <c r="A78" s="2">
        <v>45298</v>
      </c>
      <c r="B78" t="s">
        <v>18</v>
      </c>
      <c r="C78" t="s">
        <v>11</v>
      </c>
      <c r="D78" t="s">
        <v>38</v>
      </c>
      <c r="E78" t="s">
        <v>20</v>
      </c>
      <c r="F78" t="s">
        <v>42</v>
      </c>
      <c r="G78">
        <v>1</v>
      </c>
      <c r="H78" s="1">
        <v>2217250</v>
      </c>
      <c r="I78" s="1">
        <v>1596420</v>
      </c>
      <c r="J78" t="s">
        <v>31</v>
      </c>
      <c r="K78" s="1">
        <f>Tabla1[[#This Row],[cantidad]]*Tabla1[[#This Row],[precio_unitario]]</f>
        <v>2217250</v>
      </c>
      <c r="L78" s="1">
        <f>Tabla1[[#This Row],[cantidad]]*Tabla1[[#This Row],[costo_unitario]]</f>
        <v>1596420</v>
      </c>
      <c r="M78" s="1">
        <f>Tabla1[[#This Row],[venta_total]]-Tabla1[[#This Row],[costo_total]]</f>
        <v>620830</v>
      </c>
      <c r="N78" s="3">
        <f>Tabla1[[#This Row],[margen]]/Tabla1[[#This Row],[venta_total]]</f>
        <v>0.28000000000000003</v>
      </c>
    </row>
    <row r="79" spans="1:14" x14ac:dyDescent="0.25">
      <c r="A79" s="2">
        <v>45364</v>
      </c>
      <c r="B79" t="s">
        <v>32</v>
      </c>
      <c r="C79" t="s">
        <v>11</v>
      </c>
      <c r="D79" t="s">
        <v>12</v>
      </c>
      <c r="E79" t="s">
        <v>20</v>
      </c>
      <c r="F79" t="s">
        <v>37</v>
      </c>
      <c r="G79">
        <v>1</v>
      </c>
      <c r="H79" s="1">
        <v>1802397</v>
      </c>
      <c r="I79" s="1">
        <v>1351797</v>
      </c>
      <c r="J79" t="s">
        <v>15</v>
      </c>
      <c r="K79" s="1">
        <f>Tabla1[[#This Row],[cantidad]]*Tabla1[[#This Row],[precio_unitario]]</f>
        <v>1802397</v>
      </c>
      <c r="L79" s="1">
        <f>Tabla1[[#This Row],[cantidad]]*Tabla1[[#This Row],[costo_unitario]]</f>
        <v>1351797</v>
      </c>
      <c r="M79" s="1">
        <f>Tabla1[[#This Row],[venta_total]]-Tabla1[[#This Row],[costo_total]]</f>
        <v>450600</v>
      </c>
      <c r="N79" s="3">
        <f>Tabla1[[#This Row],[margen]]/Tabla1[[#This Row],[venta_total]]</f>
        <v>0.25000041611254348</v>
      </c>
    </row>
    <row r="80" spans="1:14" x14ac:dyDescent="0.25">
      <c r="A80" s="2">
        <v>45326</v>
      </c>
      <c r="B80" t="s">
        <v>18</v>
      </c>
      <c r="C80" t="s">
        <v>11</v>
      </c>
      <c r="D80" t="s">
        <v>23</v>
      </c>
      <c r="E80" t="s">
        <v>16</v>
      </c>
      <c r="F80" t="s">
        <v>24</v>
      </c>
      <c r="G80">
        <v>1</v>
      </c>
      <c r="H80" s="1">
        <v>1334421</v>
      </c>
      <c r="I80" s="1">
        <v>1000815</v>
      </c>
      <c r="J80" t="s">
        <v>15</v>
      </c>
      <c r="K80" s="1">
        <f>Tabla1[[#This Row],[cantidad]]*Tabla1[[#This Row],[precio_unitario]]</f>
        <v>1334421</v>
      </c>
      <c r="L80" s="1">
        <f>Tabla1[[#This Row],[cantidad]]*Tabla1[[#This Row],[costo_unitario]]</f>
        <v>1000815</v>
      </c>
      <c r="M80" s="1">
        <f>Tabla1[[#This Row],[venta_total]]-Tabla1[[#This Row],[costo_total]]</f>
        <v>333606</v>
      </c>
      <c r="N80" s="3">
        <f>Tabla1[[#This Row],[margen]]/Tabla1[[#This Row],[venta_total]]</f>
        <v>0.25000056204151461</v>
      </c>
    </row>
    <row r="81" spans="1:14" x14ac:dyDescent="0.25">
      <c r="A81" s="2">
        <v>45411</v>
      </c>
      <c r="B81" t="s">
        <v>32</v>
      </c>
      <c r="C81" t="s">
        <v>11</v>
      </c>
      <c r="D81" t="s">
        <v>38</v>
      </c>
      <c r="E81" t="s">
        <v>16</v>
      </c>
      <c r="F81" t="s">
        <v>39</v>
      </c>
      <c r="G81">
        <v>1</v>
      </c>
      <c r="H81" s="1">
        <v>5492161</v>
      </c>
      <c r="I81" s="1">
        <v>4119120</v>
      </c>
      <c r="J81" t="s">
        <v>31</v>
      </c>
      <c r="K81" s="1">
        <f>Tabla1[[#This Row],[cantidad]]*Tabla1[[#This Row],[precio_unitario]]</f>
        <v>5492161</v>
      </c>
      <c r="L81" s="1">
        <f>Tabla1[[#This Row],[cantidad]]*Tabla1[[#This Row],[costo_unitario]]</f>
        <v>4119120</v>
      </c>
      <c r="M81" s="1">
        <f>Tabla1[[#This Row],[venta_total]]-Tabla1[[#This Row],[costo_total]]</f>
        <v>1373041</v>
      </c>
      <c r="N81" s="3">
        <f>Tabla1[[#This Row],[margen]]/Tabla1[[#This Row],[venta_total]]</f>
        <v>0.25000013655826914</v>
      </c>
    </row>
    <row r="82" spans="1:14" x14ac:dyDescent="0.25">
      <c r="A82" s="2">
        <v>45462</v>
      </c>
      <c r="B82" t="s">
        <v>18</v>
      </c>
      <c r="C82" t="s">
        <v>11</v>
      </c>
      <c r="D82" t="s">
        <v>26</v>
      </c>
      <c r="E82" t="s">
        <v>13</v>
      </c>
      <c r="F82" t="s">
        <v>27</v>
      </c>
      <c r="G82">
        <v>1</v>
      </c>
      <c r="H82" s="1">
        <v>9203749</v>
      </c>
      <c r="I82" s="1">
        <v>7362999</v>
      </c>
      <c r="J82" t="s">
        <v>31</v>
      </c>
      <c r="K82" s="1">
        <f>Tabla1[[#This Row],[cantidad]]*Tabla1[[#This Row],[precio_unitario]]</f>
        <v>9203749</v>
      </c>
      <c r="L82" s="1">
        <f>Tabla1[[#This Row],[cantidad]]*Tabla1[[#This Row],[costo_unitario]]</f>
        <v>7362999</v>
      </c>
      <c r="M82" s="1">
        <f>Tabla1[[#This Row],[venta_total]]-Tabla1[[#This Row],[costo_total]]</f>
        <v>1840750</v>
      </c>
      <c r="N82" s="3">
        <f>Tabla1[[#This Row],[margen]]/Tabla1[[#This Row],[venta_total]]</f>
        <v>0.20000002173027534</v>
      </c>
    </row>
    <row r="83" spans="1:14" x14ac:dyDescent="0.25">
      <c r="A83" s="2">
        <v>45332</v>
      </c>
      <c r="B83" t="s">
        <v>18</v>
      </c>
      <c r="C83" t="s">
        <v>11</v>
      </c>
      <c r="D83" t="s">
        <v>26</v>
      </c>
      <c r="E83" t="s">
        <v>16</v>
      </c>
      <c r="F83" t="s">
        <v>40</v>
      </c>
      <c r="G83">
        <v>1</v>
      </c>
      <c r="H83" s="1">
        <v>4359402</v>
      </c>
      <c r="I83" s="1">
        <v>3400333</v>
      </c>
      <c r="J83" t="s">
        <v>25</v>
      </c>
      <c r="K83" s="1">
        <f>Tabla1[[#This Row],[cantidad]]*Tabla1[[#This Row],[precio_unitario]]</f>
        <v>4359402</v>
      </c>
      <c r="L83" s="1">
        <f>Tabla1[[#This Row],[cantidad]]*Tabla1[[#This Row],[costo_unitario]]</f>
        <v>3400333</v>
      </c>
      <c r="M83" s="1">
        <f>Tabla1[[#This Row],[venta_total]]-Tabla1[[#This Row],[costo_total]]</f>
        <v>959069</v>
      </c>
      <c r="N83" s="3">
        <f>Tabla1[[#This Row],[margen]]/Tabla1[[#This Row],[venta_total]]</f>
        <v>0.22000012845798575</v>
      </c>
    </row>
    <row r="84" spans="1:14" x14ac:dyDescent="0.25">
      <c r="A84" s="2">
        <v>45417</v>
      </c>
      <c r="B84" t="s">
        <v>32</v>
      </c>
      <c r="C84" t="s">
        <v>11</v>
      </c>
      <c r="D84" t="s">
        <v>23</v>
      </c>
      <c r="E84" t="s">
        <v>13</v>
      </c>
      <c r="F84" t="s">
        <v>28</v>
      </c>
      <c r="G84">
        <v>1</v>
      </c>
      <c r="H84" s="1">
        <v>3333559</v>
      </c>
      <c r="I84" s="1">
        <v>2666847</v>
      </c>
      <c r="J84" t="s">
        <v>22</v>
      </c>
      <c r="K84" s="1">
        <f>Tabla1[[#This Row],[cantidad]]*Tabla1[[#This Row],[precio_unitario]]</f>
        <v>3333559</v>
      </c>
      <c r="L84" s="1">
        <f>Tabla1[[#This Row],[cantidad]]*Tabla1[[#This Row],[costo_unitario]]</f>
        <v>2666847</v>
      </c>
      <c r="M84" s="1">
        <f>Tabla1[[#This Row],[venta_total]]-Tabla1[[#This Row],[costo_total]]</f>
        <v>666712</v>
      </c>
      <c r="N84" s="3">
        <f>Tabla1[[#This Row],[margen]]/Tabla1[[#This Row],[venta_total]]</f>
        <v>0.20000005999593828</v>
      </c>
    </row>
    <row r="85" spans="1:14" x14ac:dyDescent="0.25">
      <c r="A85" s="2">
        <v>45323</v>
      </c>
      <c r="B85" t="s">
        <v>32</v>
      </c>
      <c r="C85" t="s">
        <v>11</v>
      </c>
      <c r="D85" t="s">
        <v>23</v>
      </c>
      <c r="E85" t="s">
        <v>20</v>
      </c>
      <c r="F85" t="s">
        <v>30</v>
      </c>
      <c r="G85">
        <v>1</v>
      </c>
      <c r="H85" s="1">
        <v>920581</v>
      </c>
      <c r="I85" s="1">
        <v>644406</v>
      </c>
      <c r="J85" t="s">
        <v>31</v>
      </c>
      <c r="K85" s="1">
        <f>Tabla1[[#This Row],[cantidad]]*Tabla1[[#This Row],[precio_unitario]]</f>
        <v>920581</v>
      </c>
      <c r="L85" s="1">
        <f>Tabla1[[#This Row],[cantidad]]*Tabla1[[#This Row],[costo_unitario]]</f>
        <v>644406</v>
      </c>
      <c r="M85" s="1">
        <f>Tabla1[[#This Row],[venta_total]]-Tabla1[[#This Row],[costo_total]]</f>
        <v>276175</v>
      </c>
      <c r="N85" s="3">
        <f>Tabla1[[#This Row],[margen]]/Tabla1[[#This Row],[venta_total]]</f>
        <v>0.3000007603893628</v>
      </c>
    </row>
    <row r="86" spans="1:14" x14ac:dyDescent="0.25">
      <c r="A86" s="2">
        <v>45435</v>
      </c>
      <c r="B86" t="s">
        <v>18</v>
      </c>
      <c r="C86" t="s">
        <v>11</v>
      </c>
      <c r="D86" t="s">
        <v>38</v>
      </c>
      <c r="E86" t="s">
        <v>20</v>
      </c>
      <c r="F86" t="s">
        <v>42</v>
      </c>
      <c r="G86">
        <v>1</v>
      </c>
      <c r="H86" s="1">
        <v>3015635</v>
      </c>
      <c r="I86" s="1">
        <v>2171257</v>
      </c>
      <c r="J86" t="s">
        <v>22</v>
      </c>
      <c r="K86" s="1">
        <f>Tabla1[[#This Row],[cantidad]]*Tabla1[[#This Row],[precio_unitario]]</f>
        <v>3015635</v>
      </c>
      <c r="L86" s="1">
        <f>Tabla1[[#This Row],[cantidad]]*Tabla1[[#This Row],[costo_unitario]]</f>
        <v>2171257</v>
      </c>
      <c r="M86" s="1">
        <f>Tabla1[[#This Row],[venta_total]]-Tabla1[[#This Row],[costo_total]]</f>
        <v>844378</v>
      </c>
      <c r="N86" s="3">
        <f>Tabla1[[#This Row],[margen]]/Tabla1[[#This Row],[venta_total]]</f>
        <v>0.28000006632102359</v>
      </c>
    </row>
    <row r="87" spans="1:14" x14ac:dyDescent="0.25">
      <c r="A87" s="2">
        <v>45367</v>
      </c>
      <c r="B87" t="s">
        <v>34</v>
      </c>
      <c r="C87" t="s">
        <v>11</v>
      </c>
      <c r="D87" t="s">
        <v>23</v>
      </c>
      <c r="E87" t="s">
        <v>20</v>
      </c>
      <c r="F87" t="s">
        <v>30</v>
      </c>
      <c r="G87">
        <v>1</v>
      </c>
      <c r="H87" s="1">
        <v>819521</v>
      </c>
      <c r="I87" s="1">
        <v>573664</v>
      </c>
      <c r="J87" t="s">
        <v>25</v>
      </c>
      <c r="K87" s="1">
        <f>Tabla1[[#This Row],[cantidad]]*Tabla1[[#This Row],[precio_unitario]]</f>
        <v>819521</v>
      </c>
      <c r="L87" s="1">
        <f>Tabla1[[#This Row],[cantidad]]*Tabla1[[#This Row],[costo_unitario]]</f>
        <v>573664</v>
      </c>
      <c r="M87" s="1">
        <f>Tabla1[[#This Row],[venta_total]]-Tabla1[[#This Row],[costo_total]]</f>
        <v>245857</v>
      </c>
      <c r="N87" s="3">
        <f>Tabla1[[#This Row],[margen]]/Tabla1[[#This Row],[venta_total]]</f>
        <v>0.30000085415748956</v>
      </c>
    </row>
    <row r="88" spans="1:14" x14ac:dyDescent="0.25">
      <c r="A88" s="2">
        <v>45463</v>
      </c>
      <c r="B88" t="s">
        <v>10</v>
      </c>
      <c r="C88" t="s">
        <v>11</v>
      </c>
      <c r="D88" t="s">
        <v>26</v>
      </c>
      <c r="E88" t="s">
        <v>16</v>
      </c>
      <c r="F88" t="s">
        <v>40</v>
      </c>
      <c r="G88">
        <v>1</v>
      </c>
      <c r="H88" s="1">
        <v>3954205</v>
      </c>
      <c r="I88" s="1">
        <v>3084279</v>
      </c>
      <c r="J88" t="s">
        <v>29</v>
      </c>
      <c r="K88" s="1">
        <f>Tabla1[[#This Row],[cantidad]]*Tabla1[[#This Row],[precio_unitario]]</f>
        <v>3954205</v>
      </c>
      <c r="L88" s="1">
        <f>Tabla1[[#This Row],[cantidad]]*Tabla1[[#This Row],[costo_unitario]]</f>
        <v>3084279</v>
      </c>
      <c r="M88" s="1">
        <f>Tabla1[[#This Row],[venta_total]]-Tabla1[[#This Row],[costo_total]]</f>
        <v>869926</v>
      </c>
      <c r="N88" s="3">
        <f>Tabla1[[#This Row],[margen]]/Tabla1[[#This Row],[venta_total]]</f>
        <v>0.22000022760580193</v>
      </c>
    </row>
    <row r="89" spans="1:14" x14ac:dyDescent="0.25">
      <c r="A89" s="2">
        <v>45457</v>
      </c>
      <c r="B89" t="s">
        <v>32</v>
      </c>
      <c r="C89" t="s">
        <v>11</v>
      </c>
      <c r="D89" t="s">
        <v>23</v>
      </c>
      <c r="E89" t="s">
        <v>20</v>
      </c>
      <c r="F89" t="s">
        <v>30</v>
      </c>
      <c r="G89">
        <v>1</v>
      </c>
      <c r="H89" s="1">
        <v>1116375</v>
      </c>
      <c r="I89" s="1">
        <v>781462</v>
      </c>
      <c r="J89" t="s">
        <v>25</v>
      </c>
      <c r="K89" s="1">
        <f>Tabla1[[#This Row],[cantidad]]*Tabla1[[#This Row],[precio_unitario]]</f>
        <v>1116375</v>
      </c>
      <c r="L89" s="1">
        <f>Tabla1[[#This Row],[cantidad]]*Tabla1[[#This Row],[costo_unitario]]</f>
        <v>781462</v>
      </c>
      <c r="M89" s="1">
        <f>Tabla1[[#This Row],[venta_total]]-Tabla1[[#This Row],[costo_total]]</f>
        <v>334913</v>
      </c>
      <c r="N89" s="3">
        <f>Tabla1[[#This Row],[margen]]/Tabla1[[#This Row],[venta_total]]</f>
        <v>0.30000044787817715</v>
      </c>
    </row>
    <row r="90" spans="1:14" x14ac:dyDescent="0.25">
      <c r="A90" s="2">
        <v>45300</v>
      </c>
      <c r="B90" t="s">
        <v>18</v>
      </c>
      <c r="C90" t="s">
        <v>11</v>
      </c>
      <c r="D90" t="s">
        <v>23</v>
      </c>
      <c r="E90" t="s">
        <v>16</v>
      </c>
      <c r="F90" t="s">
        <v>24</v>
      </c>
      <c r="G90">
        <v>1</v>
      </c>
      <c r="H90" s="1">
        <v>1676889</v>
      </c>
      <c r="I90" s="1">
        <v>1257666</v>
      </c>
      <c r="J90" t="s">
        <v>31</v>
      </c>
      <c r="K90" s="1">
        <f>Tabla1[[#This Row],[cantidad]]*Tabla1[[#This Row],[precio_unitario]]</f>
        <v>1676889</v>
      </c>
      <c r="L90" s="1">
        <f>Tabla1[[#This Row],[cantidad]]*Tabla1[[#This Row],[costo_unitario]]</f>
        <v>1257666</v>
      </c>
      <c r="M90" s="1">
        <f>Tabla1[[#This Row],[venta_total]]-Tabla1[[#This Row],[costo_total]]</f>
        <v>419223</v>
      </c>
      <c r="N90" s="3">
        <f>Tabla1[[#This Row],[margen]]/Tabla1[[#This Row],[venta_total]]</f>
        <v>0.25000044725679516</v>
      </c>
    </row>
    <row r="91" spans="1:14" x14ac:dyDescent="0.25">
      <c r="A91" s="2">
        <v>45302</v>
      </c>
      <c r="B91" t="s">
        <v>10</v>
      </c>
      <c r="C91" t="s">
        <v>11</v>
      </c>
      <c r="D91" t="s">
        <v>38</v>
      </c>
      <c r="E91" t="s">
        <v>20</v>
      </c>
      <c r="F91" t="s">
        <v>42</v>
      </c>
      <c r="G91">
        <v>1</v>
      </c>
      <c r="H91" s="1">
        <v>2357387</v>
      </c>
      <c r="I91" s="1">
        <v>1697318</v>
      </c>
      <c r="J91" t="s">
        <v>22</v>
      </c>
      <c r="K91" s="1">
        <f>Tabla1[[#This Row],[cantidad]]*Tabla1[[#This Row],[precio_unitario]]</f>
        <v>2357387</v>
      </c>
      <c r="L91" s="1">
        <f>Tabla1[[#This Row],[cantidad]]*Tabla1[[#This Row],[costo_unitario]]</f>
        <v>1697318</v>
      </c>
      <c r="M91" s="1">
        <f>Tabla1[[#This Row],[venta_total]]-Tabla1[[#This Row],[costo_total]]</f>
        <v>660069</v>
      </c>
      <c r="N91" s="3">
        <f>Tabla1[[#This Row],[margen]]/Tabla1[[#This Row],[venta_total]]</f>
        <v>0.28000027148703205</v>
      </c>
    </row>
    <row r="92" spans="1:14" x14ac:dyDescent="0.25">
      <c r="A92" s="2">
        <v>45391</v>
      </c>
      <c r="B92" t="s">
        <v>18</v>
      </c>
      <c r="C92" t="s">
        <v>11</v>
      </c>
      <c r="D92" t="s">
        <v>23</v>
      </c>
      <c r="E92" t="s">
        <v>16</v>
      </c>
      <c r="F92" t="s">
        <v>24</v>
      </c>
      <c r="G92">
        <v>1</v>
      </c>
      <c r="H92" s="1">
        <v>1573191</v>
      </c>
      <c r="I92" s="1">
        <v>1179893</v>
      </c>
      <c r="J92" t="s">
        <v>29</v>
      </c>
      <c r="K92" s="1">
        <f>Tabla1[[#This Row],[cantidad]]*Tabla1[[#This Row],[precio_unitario]]</f>
        <v>1573191</v>
      </c>
      <c r="L92" s="1">
        <f>Tabla1[[#This Row],[cantidad]]*Tabla1[[#This Row],[costo_unitario]]</f>
        <v>1179893</v>
      </c>
      <c r="M92" s="1">
        <f>Tabla1[[#This Row],[venta_total]]-Tabla1[[#This Row],[costo_total]]</f>
        <v>393298</v>
      </c>
      <c r="N92" s="3">
        <f>Tabla1[[#This Row],[margen]]/Tabla1[[#This Row],[venta_total]]</f>
        <v>0.25000015891268129</v>
      </c>
    </row>
    <row r="93" spans="1:14" x14ac:dyDescent="0.25">
      <c r="A93" s="2">
        <v>45414</v>
      </c>
      <c r="B93" t="s">
        <v>34</v>
      </c>
      <c r="C93" t="s">
        <v>11</v>
      </c>
      <c r="D93" t="s">
        <v>19</v>
      </c>
      <c r="E93" t="s">
        <v>16</v>
      </c>
      <c r="F93" t="s">
        <v>35</v>
      </c>
      <c r="G93">
        <v>1</v>
      </c>
      <c r="H93" s="1">
        <v>891541</v>
      </c>
      <c r="I93" s="1">
        <v>579501</v>
      </c>
      <c r="J93" t="s">
        <v>22</v>
      </c>
      <c r="K93" s="1">
        <f>Tabla1[[#This Row],[cantidad]]*Tabla1[[#This Row],[precio_unitario]]</f>
        <v>891541</v>
      </c>
      <c r="L93" s="1">
        <f>Tabla1[[#This Row],[cantidad]]*Tabla1[[#This Row],[costo_unitario]]</f>
        <v>579501</v>
      </c>
      <c r="M93" s="1">
        <f>Tabla1[[#This Row],[venta_total]]-Tabla1[[#This Row],[costo_total]]</f>
        <v>312040</v>
      </c>
      <c r="N93" s="3">
        <f>Tabla1[[#This Row],[margen]]/Tabla1[[#This Row],[venta_total]]</f>
        <v>0.35000072907471447</v>
      </c>
    </row>
    <row r="94" spans="1:14" x14ac:dyDescent="0.25">
      <c r="A94" s="2">
        <v>45372</v>
      </c>
      <c r="B94" t="s">
        <v>34</v>
      </c>
      <c r="C94" t="s">
        <v>11</v>
      </c>
      <c r="D94" t="s">
        <v>26</v>
      </c>
      <c r="E94" t="s">
        <v>13</v>
      </c>
      <c r="F94" t="s">
        <v>27</v>
      </c>
      <c r="G94">
        <v>1</v>
      </c>
      <c r="H94" s="1">
        <v>5849856</v>
      </c>
      <c r="I94" s="1">
        <v>4679884</v>
      </c>
      <c r="J94" t="s">
        <v>31</v>
      </c>
      <c r="K94" s="1">
        <f>Tabla1[[#This Row],[cantidad]]*Tabla1[[#This Row],[precio_unitario]]</f>
        <v>5849856</v>
      </c>
      <c r="L94" s="1">
        <f>Tabla1[[#This Row],[cantidad]]*Tabla1[[#This Row],[costo_unitario]]</f>
        <v>4679884</v>
      </c>
      <c r="M94" s="1">
        <f>Tabla1[[#This Row],[venta_total]]-Tabla1[[#This Row],[costo_total]]</f>
        <v>1169972</v>
      </c>
      <c r="N94" s="3">
        <f>Tabla1[[#This Row],[margen]]/Tabla1[[#This Row],[venta_total]]</f>
        <v>0.20000013675550304</v>
      </c>
    </row>
    <row r="95" spans="1:14" x14ac:dyDescent="0.25">
      <c r="A95" s="2">
        <v>45379</v>
      </c>
      <c r="B95" t="s">
        <v>10</v>
      </c>
      <c r="C95" t="s">
        <v>11</v>
      </c>
      <c r="D95" t="s">
        <v>19</v>
      </c>
      <c r="E95" t="s">
        <v>13</v>
      </c>
      <c r="F95" t="s">
        <v>33</v>
      </c>
      <c r="G95">
        <v>3</v>
      </c>
      <c r="H95" s="1">
        <v>1415831</v>
      </c>
      <c r="I95" s="1">
        <v>991081</v>
      </c>
      <c r="J95" t="s">
        <v>15</v>
      </c>
      <c r="K95" s="1">
        <f>Tabla1[[#This Row],[cantidad]]*Tabla1[[#This Row],[precio_unitario]]</f>
        <v>4247493</v>
      </c>
      <c r="L95" s="1">
        <f>Tabla1[[#This Row],[cantidad]]*Tabla1[[#This Row],[costo_unitario]]</f>
        <v>2973243</v>
      </c>
      <c r="M95" s="1">
        <f>Tabla1[[#This Row],[venta_total]]-Tabla1[[#This Row],[costo_total]]</f>
        <v>1274250</v>
      </c>
      <c r="N95" s="3">
        <f>Tabla1[[#This Row],[margen]]/Tabla1[[#This Row],[venta_total]]</f>
        <v>0.30000049440929039</v>
      </c>
    </row>
    <row r="96" spans="1:14" x14ac:dyDescent="0.25">
      <c r="A96" s="2">
        <v>45360</v>
      </c>
      <c r="B96" t="s">
        <v>18</v>
      </c>
      <c r="C96" t="s">
        <v>11</v>
      </c>
      <c r="D96" t="s">
        <v>26</v>
      </c>
      <c r="E96" t="s">
        <v>16</v>
      </c>
      <c r="F96" t="s">
        <v>40</v>
      </c>
      <c r="G96">
        <v>1</v>
      </c>
      <c r="H96" s="1">
        <v>3272391</v>
      </c>
      <c r="I96" s="1">
        <v>2552464</v>
      </c>
      <c r="J96" t="s">
        <v>22</v>
      </c>
      <c r="K96" s="1">
        <f>Tabla1[[#This Row],[cantidad]]*Tabla1[[#This Row],[precio_unitario]]</f>
        <v>3272391</v>
      </c>
      <c r="L96" s="1">
        <f>Tabla1[[#This Row],[cantidad]]*Tabla1[[#This Row],[costo_unitario]]</f>
        <v>2552464</v>
      </c>
      <c r="M96" s="1">
        <f>Tabla1[[#This Row],[venta_total]]-Tabla1[[#This Row],[costo_total]]</f>
        <v>719927</v>
      </c>
      <c r="N96" s="3">
        <f>Tabla1[[#This Row],[margen]]/Tabla1[[#This Row],[venta_total]]</f>
        <v>0.22000029947521552</v>
      </c>
    </row>
    <row r="97" spans="1:14" x14ac:dyDescent="0.25">
      <c r="A97" s="2">
        <v>45314</v>
      </c>
      <c r="B97" t="s">
        <v>18</v>
      </c>
      <c r="C97" t="s">
        <v>11</v>
      </c>
      <c r="D97" t="s">
        <v>38</v>
      </c>
      <c r="E97" t="s">
        <v>13</v>
      </c>
      <c r="F97" t="s">
        <v>41</v>
      </c>
      <c r="G97">
        <v>1</v>
      </c>
      <c r="H97" s="1">
        <v>6970677</v>
      </c>
      <c r="I97" s="1">
        <v>5576541</v>
      </c>
      <c r="J97" t="s">
        <v>29</v>
      </c>
      <c r="K97" s="1">
        <f>Tabla1[[#This Row],[cantidad]]*Tabla1[[#This Row],[precio_unitario]]</f>
        <v>6970677</v>
      </c>
      <c r="L97" s="1">
        <f>Tabla1[[#This Row],[cantidad]]*Tabla1[[#This Row],[costo_unitario]]</f>
        <v>5576541</v>
      </c>
      <c r="M97" s="1">
        <f>Tabla1[[#This Row],[venta_total]]-Tabla1[[#This Row],[costo_total]]</f>
        <v>1394136</v>
      </c>
      <c r="N97" s="3">
        <f>Tabla1[[#This Row],[margen]]/Tabla1[[#This Row],[venta_total]]</f>
        <v>0.20000008607485328</v>
      </c>
    </row>
    <row r="98" spans="1:14" x14ac:dyDescent="0.25">
      <c r="A98" s="2">
        <v>45359</v>
      </c>
      <c r="B98" t="s">
        <v>18</v>
      </c>
      <c r="C98" t="s">
        <v>11</v>
      </c>
      <c r="D98" t="s">
        <v>23</v>
      </c>
      <c r="E98" t="s">
        <v>20</v>
      </c>
      <c r="F98" t="s">
        <v>30</v>
      </c>
      <c r="G98">
        <v>1</v>
      </c>
      <c r="H98" s="1">
        <v>925750</v>
      </c>
      <c r="I98" s="1">
        <v>648025</v>
      </c>
      <c r="J98" t="s">
        <v>15</v>
      </c>
      <c r="K98" s="1">
        <f>Tabla1[[#This Row],[cantidad]]*Tabla1[[#This Row],[precio_unitario]]</f>
        <v>925750</v>
      </c>
      <c r="L98" s="1">
        <f>Tabla1[[#This Row],[cantidad]]*Tabla1[[#This Row],[costo_unitario]]</f>
        <v>648025</v>
      </c>
      <c r="M98" s="1">
        <f>Tabla1[[#This Row],[venta_total]]-Tabla1[[#This Row],[costo_total]]</f>
        <v>277725</v>
      </c>
      <c r="N98" s="3">
        <f>Tabla1[[#This Row],[margen]]/Tabla1[[#This Row],[venta_total]]</f>
        <v>0.3</v>
      </c>
    </row>
    <row r="99" spans="1:14" x14ac:dyDescent="0.25">
      <c r="A99" s="2">
        <v>45444</v>
      </c>
      <c r="B99" t="s">
        <v>34</v>
      </c>
      <c r="C99" t="s">
        <v>11</v>
      </c>
      <c r="D99" t="s">
        <v>38</v>
      </c>
      <c r="E99" t="s">
        <v>20</v>
      </c>
      <c r="F99" t="s">
        <v>42</v>
      </c>
      <c r="G99">
        <v>1</v>
      </c>
      <c r="H99" s="1">
        <v>3249673</v>
      </c>
      <c r="I99" s="1">
        <v>2339764</v>
      </c>
      <c r="J99" t="s">
        <v>25</v>
      </c>
      <c r="K99" s="1">
        <f>Tabla1[[#This Row],[cantidad]]*Tabla1[[#This Row],[precio_unitario]]</f>
        <v>3249673</v>
      </c>
      <c r="L99" s="1">
        <f>Tabla1[[#This Row],[cantidad]]*Tabla1[[#This Row],[costo_unitario]]</f>
        <v>2339764</v>
      </c>
      <c r="M99" s="1">
        <f>Tabla1[[#This Row],[venta_total]]-Tabla1[[#This Row],[costo_total]]</f>
        <v>909909</v>
      </c>
      <c r="N99" s="3">
        <f>Tabla1[[#This Row],[margen]]/Tabla1[[#This Row],[venta_total]]</f>
        <v>0.28000017232503088</v>
      </c>
    </row>
    <row r="100" spans="1:14" x14ac:dyDescent="0.25">
      <c r="A100" s="2">
        <v>45342</v>
      </c>
      <c r="B100" t="s">
        <v>18</v>
      </c>
      <c r="C100" t="s">
        <v>11</v>
      </c>
      <c r="D100" t="s">
        <v>23</v>
      </c>
      <c r="E100" t="s">
        <v>13</v>
      </c>
      <c r="F100" t="s">
        <v>28</v>
      </c>
      <c r="G100">
        <v>1</v>
      </c>
      <c r="H100" s="1">
        <v>2052427</v>
      </c>
      <c r="I100" s="1">
        <v>1641941</v>
      </c>
      <c r="J100" t="s">
        <v>29</v>
      </c>
      <c r="K100" s="1">
        <f>Tabla1[[#This Row],[cantidad]]*Tabla1[[#This Row],[precio_unitario]]</f>
        <v>2052427</v>
      </c>
      <c r="L100" s="1">
        <f>Tabla1[[#This Row],[cantidad]]*Tabla1[[#This Row],[costo_unitario]]</f>
        <v>1641941</v>
      </c>
      <c r="M100" s="1">
        <f>Tabla1[[#This Row],[venta_total]]-Tabla1[[#This Row],[costo_total]]</f>
        <v>410486</v>
      </c>
      <c r="N100" s="3">
        <f>Tabla1[[#This Row],[margen]]/Tabla1[[#This Row],[venta_total]]</f>
        <v>0.20000029233682853</v>
      </c>
    </row>
    <row r="101" spans="1:14" x14ac:dyDescent="0.25">
      <c r="A101" s="2">
        <v>45387</v>
      </c>
      <c r="B101" t="s">
        <v>10</v>
      </c>
      <c r="C101" t="s">
        <v>11</v>
      </c>
      <c r="D101" t="s">
        <v>38</v>
      </c>
      <c r="E101" t="s">
        <v>20</v>
      </c>
      <c r="F101" t="s">
        <v>42</v>
      </c>
      <c r="G101">
        <v>1</v>
      </c>
      <c r="H101" s="1">
        <v>3064641</v>
      </c>
      <c r="I101" s="1">
        <v>2206541</v>
      </c>
      <c r="J101" t="s">
        <v>15</v>
      </c>
      <c r="K101" s="1">
        <f>Tabla1[[#This Row],[cantidad]]*Tabla1[[#This Row],[precio_unitario]]</f>
        <v>3064641</v>
      </c>
      <c r="L101" s="1">
        <f>Tabla1[[#This Row],[cantidad]]*Tabla1[[#This Row],[costo_unitario]]</f>
        <v>2206541</v>
      </c>
      <c r="M101" s="1">
        <f>Tabla1[[#This Row],[venta_total]]-Tabla1[[#This Row],[costo_total]]</f>
        <v>858100</v>
      </c>
      <c r="N101" s="3">
        <f>Tabla1[[#This Row],[margen]]/Tabla1[[#This Row],[venta_total]]</f>
        <v>0.28000016967729663</v>
      </c>
    </row>
    <row r="102" spans="1:14" x14ac:dyDescent="0.25">
      <c r="A102" s="2">
        <v>45308</v>
      </c>
      <c r="B102" t="s">
        <v>10</v>
      </c>
      <c r="C102" t="s">
        <v>11</v>
      </c>
      <c r="D102" t="s">
        <v>26</v>
      </c>
      <c r="E102" t="s">
        <v>20</v>
      </c>
      <c r="F102" t="s">
        <v>36</v>
      </c>
      <c r="G102">
        <v>1</v>
      </c>
      <c r="H102" s="1">
        <v>2138452</v>
      </c>
      <c r="I102" s="1">
        <v>1603839</v>
      </c>
      <c r="J102" t="s">
        <v>25</v>
      </c>
      <c r="K102" s="1">
        <f>Tabla1[[#This Row],[cantidad]]*Tabla1[[#This Row],[precio_unitario]]</f>
        <v>2138452</v>
      </c>
      <c r="L102" s="1">
        <f>Tabla1[[#This Row],[cantidad]]*Tabla1[[#This Row],[costo_unitario]]</f>
        <v>1603839</v>
      </c>
      <c r="M102" s="1">
        <f>Tabla1[[#This Row],[venta_total]]-Tabla1[[#This Row],[costo_total]]</f>
        <v>534613</v>
      </c>
      <c r="N102" s="3">
        <f>Tabla1[[#This Row],[margen]]/Tabla1[[#This Row],[venta_total]]</f>
        <v>0.25</v>
      </c>
    </row>
    <row r="103" spans="1:14" x14ac:dyDescent="0.25">
      <c r="A103" s="2">
        <v>45396</v>
      </c>
      <c r="B103" t="s">
        <v>32</v>
      </c>
      <c r="C103" t="s">
        <v>11</v>
      </c>
      <c r="D103" t="s">
        <v>12</v>
      </c>
      <c r="E103" t="s">
        <v>20</v>
      </c>
      <c r="F103" t="s">
        <v>37</v>
      </c>
      <c r="G103">
        <v>1</v>
      </c>
      <c r="H103" s="1">
        <v>2602619</v>
      </c>
      <c r="I103" s="1">
        <v>1951964</v>
      </c>
      <c r="J103" t="s">
        <v>22</v>
      </c>
      <c r="K103" s="1">
        <f>Tabla1[[#This Row],[cantidad]]*Tabla1[[#This Row],[precio_unitario]]</f>
        <v>2602619</v>
      </c>
      <c r="L103" s="1">
        <f>Tabla1[[#This Row],[cantidad]]*Tabla1[[#This Row],[costo_unitario]]</f>
        <v>1951964</v>
      </c>
      <c r="M103" s="1">
        <f>Tabla1[[#This Row],[venta_total]]-Tabla1[[#This Row],[costo_total]]</f>
        <v>650655</v>
      </c>
      <c r="N103" s="3">
        <f>Tabla1[[#This Row],[margen]]/Tabla1[[#This Row],[venta_total]]</f>
        <v>0.25000009605708712</v>
      </c>
    </row>
    <row r="104" spans="1:14" x14ac:dyDescent="0.25">
      <c r="A104" s="2">
        <v>45426</v>
      </c>
      <c r="B104" t="s">
        <v>10</v>
      </c>
      <c r="C104" t="s">
        <v>11</v>
      </c>
      <c r="D104" t="s">
        <v>26</v>
      </c>
      <c r="E104" t="s">
        <v>20</v>
      </c>
      <c r="F104" t="s">
        <v>36</v>
      </c>
      <c r="G104">
        <v>1</v>
      </c>
      <c r="H104" s="1">
        <v>2062720</v>
      </c>
      <c r="I104" s="1">
        <v>1547040</v>
      </c>
      <c r="J104" t="s">
        <v>29</v>
      </c>
      <c r="K104" s="1">
        <f>Tabla1[[#This Row],[cantidad]]*Tabla1[[#This Row],[precio_unitario]]</f>
        <v>2062720</v>
      </c>
      <c r="L104" s="1">
        <f>Tabla1[[#This Row],[cantidad]]*Tabla1[[#This Row],[costo_unitario]]</f>
        <v>1547040</v>
      </c>
      <c r="M104" s="1">
        <f>Tabla1[[#This Row],[venta_total]]-Tabla1[[#This Row],[costo_total]]</f>
        <v>515680</v>
      </c>
      <c r="N104" s="3">
        <f>Tabla1[[#This Row],[margen]]/Tabla1[[#This Row],[venta_total]]</f>
        <v>0.25</v>
      </c>
    </row>
    <row r="105" spans="1:14" x14ac:dyDescent="0.25">
      <c r="A105" s="2">
        <v>45371</v>
      </c>
      <c r="B105" t="s">
        <v>10</v>
      </c>
      <c r="C105" t="s">
        <v>11</v>
      </c>
      <c r="D105" t="s">
        <v>26</v>
      </c>
      <c r="E105" t="s">
        <v>13</v>
      </c>
      <c r="F105" t="s">
        <v>27</v>
      </c>
      <c r="G105">
        <v>1</v>
      </c>
      <c r="H105" s="1">
        <v>9255691</v>
      </c>
      <c r="I105" s="1">
        <v>7404552</v>
      </c>
      <c r="J105" t="s">
        <v>15</v>
      </c>
      <c r="K105" s="1">
        <f>Tabla1[[#This Row],[cantidad]]*Tabla1[[#This Row],[precio_unitario]]</f>
        <v>9255691</v>
      </c>
      <c r="L105" s="1">
        <f>Tabla1[[#This Row],[cantidad]]*Tabla1[[#This Row],[costo_unitario]]</f>
        <v>7404552</v>
      </c>
      <c r="M105" s="1">
        <f>Tabla1[[#This Row],[venta_total]]-Tabla1[[#This Row],[costo_total]]</f>
        <v>1851139</v>
      </c>
      <c r="N105" s="3">
        <f>Tabla1[[#This Row],[margen]]/Tabla1[[#This Row],[venta_total]]</f>
        <v>0.20000008643330897</v>
      </c>
    </row>
    <row r="106" spans="1:14" x14ac:dyDescent="0.25">
      <c r="A106" s="2">
        <v>45409</v>
      </c>
      <c r="B106" t="s">
        <v>18</v>
      </c>
      <c r="C106" t="s">
        <v>11</v>
      </c>
      <c r="D106" t="s">
        <v>19</v>
      </c>
      <c r="E106" t="s">
        <v>16</v>
      </c>
      <c r="F106" t="s">
        <v>35</v>
      </c>
      <c r="G106">
        <v>1</v>
      </c>
      <c r="H106" s="1">
        <v>1098326</v>
      </c>
      <c r="I106" s="1">
        <v>713911</v>
      </c>
      <c r="J106" t="s">
        <v>22</v>
      </c>
      <c r="K106" s="1">
        <f>Tabla1[[#This Row],[cantidad]]*Tabla1[[#This Row],[precio_unitario]]</f>
        <v>1098326</v>
      </c>
      <c r="L106" s="1">
        <f>Tabla1[[#This Row],[cantidad]]*Tabla1[[#This Row],[costo_unitario]]</f>
        <v>713911</v>
      </c>
      <c r="M106" s="1">
        <f>Tabla1[[#This Row],[venta_total]]-Tabla1[[#This Row],[costo_total]]</f>
        <v>384415</v>
      </c>
      <c r="N106" s="3">
        <f>Tabla1[[#This Row],[margen]]/Tabla1[[#This Row],[venta_total]]</f>
        <v>0.35000081942883987</v>
      </c>
    </row>
    <row r="107" spans="1:14" x14ac:dyDescent="0.25">
      <c r="A107" s="2">
        <v>45294</v>
      </c>
      <c r="B107" t="s">
        <v>34</v>
      </c>
      <c r="C107" t="s">
        <v>11</v>
      </c>
      <c r="D107" t="s">
        <v>38</v>
      </c>
      <c r="E107" t="s">
        <v>16</v>
      </c>
      <c r="F107" t="s">
        <v>39</v>
      </c>
      <c r="G107">
        <v>1</v>
      </c>
      <c r="H107" s="1">
        <v>5867915</v>
      </c>
      <c r="I107" s="1">
        <v>4400936</v>
      </c>
      <c r="J107" t="s">
        <v>15</v>
      </c>
      <c r="K107" s="1">
        <f>Tabla1[[#This Row],[cantidad]]*Tabla1[[#This Row],[precio_unitario]]</f>
        <v>5867915</v>
      </c>
      <c r="L107" s="1">
        <f>Tabla1[[#This Row],[cantidad]]*Tabla1[[#This Row],[costo_unitario]]</f>
        <v>4400936</v>
      </c>
      <c r="M107" s="1">
        <f>Tabla1[[#This Row],[venta_total]]-Tabla1[[#This Row],[costo_total]]</f>
        <v>1466979</v>
      </c>
      <c r="N107" s="3">
        <f>Tabla1[[#This Row],[margen]]/Tabla1[[#This Row],[venta_total]]</f>
        <v>0.25000004260457082</v>
      </c>
    </row>
    <row r="108" spans="1:14" x14ac:dyDescent="0.25">
      <c r="A108" s="2">
        <v>45346</v>
      </c>
      <c r="B108" t="s">
        <v>18</v>
      </c>
      <c r="C108" t="s">
        <v>11</v>
      </c>
      <c r="D108" t="s">
        <v>19</v>
      </c>
      <c r="E108" t="s">
        <v>16</v>
      </c>
      <c r="F108" t="s">
        <v>35</v>
      </c>
      <c r="G108">
        <v>2</v>
      </c>
      <c r="H108" s="1">
        <v>798276</v>
      </c>
      <c r="I108" s="1">
        <v>518879</v>
      </c>
      <c r="J108" t="s">
        <v>25</v>
      </c>
      <c r="K108" s="1">
        <f>Tabla1[[#This Row],[cantidad]]*Tabla1[[#This Row],[precio_unitario]]</f>
        <v>1596552</v>
      </c>
      <c r="L108" s="1">
        <f>Tabla1[[#This Row],[cantidad]]*Tabla1[[#This Row],[costo_unitario]]</f>
        <v>1037758</v>
      </c>
      <c r="M108" s="1">
        <f>Tabla1[[#This Row],[venta_total]]-Tabla1[[#This Row],[costo_total]]</f>
        <v>558794</v>
      </c>
      <c r="N108" s="3">
        <f>Tabla1[[#This Row],[margen]]/Tabla1[[#This Row],[venta_total]]</f>
        <v>0.35000050107982705</v>
      </c>
    </row>
    <row r="109" spans="1:14" x14ac:dyDescent="0.25">
      <c r="A109" s="2">
        <v>45404</v>
      </c>
      <c r="B109" t="s">
        <v>34</v>
      </c>
      <c r="C109" t="s">
        <v>11</v>
      </c>
      <c r="D109" t="s">
        <v>38</v>
      </c>
      <c r="E109" t="s">
        <v>16</v>
      </c>
      <c r="F109" t="s">
        <v>39</v>
      </c>
      <c r="G109">
        <v>1</v>
      </c>
      <c r="H109" s="1">
        <v>5327349</v>
      </c>
      <c r="I109" s="1">
        <v>3995511</v>
      </c>
      <c r="J109" t="s">
        <v>29</v>
      </c>
      <c r="K109" s="1">
        <f>Tabla1[[#This Row],[cantidad]]*Tabla1[[#This Row],[precio_unitario]]</f>
        <v>5327349</v>
      </c>
      <c r="L109" s="1">
        <f>Tabla1[[#This Row],[cantidad]]*Tabla1[[#This Row],[costo_unitario]]</f>
        <v>3995511</v>
      </c>
      <c r="M109" s="1">
        <f>Tabla1[[#This Row],[venta_total]]-Tabla1[[#This Row],[costo_total]]</f>
        <v>1331838</v>
      </c>
      <c r="N109" s="3">
        <f>Tabla1[[#This Row],[margen]]/Tabla1[[#This Row],[venta_total]]</f>
        <v>0.25000014078296728</v>
      </c>
    </row>
    <row r="110" spans="1:14" x14ac:dyDescent="0.25">
      <c r="A110" s="2">
        <v>45451</v>
      </c>
      <c r="B110" t="s">
        <v>18</v>
      </c>
      <c r="C110" t="s">
        <v>11</v>
      </c>
      <c r="D110" t="s">
        <v>38</v>
      </c>
      <c r="E110" t="s">
        <v>13</v>
      </c>
      <c r="F110" t="s">
        <v>41</v>
      </c>
      <c r="G110">
        <v>1</v>
      </c>
      <c r="H110" s="1">
        <v>6604772</v>
      </c>
      <c r="I110" s="1">
        <v>5283817</v>
      </c>
      <c r="J110" t="s">
        <v>29</v>
      </c>
      <c r="K110" s="1">
        <f>Tabla1[[#This Row],[cantidad]]*Tabla1[[#This Row],[precio_unitario]]</f>
        <v>6604772</v>
      </c>
      <c r="L110" s="1">
        <f>Tabla1[[#This Row],[cantidad]]*Tabla1[[#This Row],[costo_unitario]]</f>
        <v>5283817</v>
      </c>
      <c r="M110" s="1">
        <f>Tabla1[[#This Row],[venta_total]]-Tabla1[[#This Row],[costo_total]]</f>
        <v>1320955</v>
      </c>
      <c r="N110" s="3">
        <f>Tabla1[[#This Row],[margen]]/Tabla1[[#This Row],[venta_total]]</f>
        <v>0.20000009084340836</v>
      </c>
    </row>
    <row r="111" spans="1:14" x14ac:dyDescent="0.25">
      <c r="A111" s="2">
        <v>45467</v>
      </c>
      <c r="B111" t="s">
        <v>34</v>
      </c>
      <c r="C111" t="s">
        <v>11</v>
      </c>
      <c r="D111" t="s">
        <v>23</v>
      </c>
      <c r="E111" t="s">
        <v>20</v>
      </c>
      <c r="F111" t="s">
        <v>30</v>
      </c>
      <c r="G111">
        <v>1</v>
      </c>
      <c r="H111" s="1">
        <v>901060</v>
      </c>
      <c r="I111" s="1">
        <v>630742</v>
      </c>
      <c r="J111" t="s">
        <v>25</v>
      </c>
      <c r="K111" s="1">
        <f>Tabla1[[#This Row],[cantidad]]*Tabla1[[#This Row],[precio_unitario]]</f>
        <v>901060</v>
      </c>
      <c r="L111" s="1">
        <f>Tabla1[[#This Row],[cantidad]]*Tabla1[[#This Row],[costo_unitario]]</f>
        <v>630742</v>
      </c>
      <c r="M111" s="1">
        <f>Tabla1[[#This Row],[venta_total]]-Tabla1[[#This Row],[costo_total]]</f>
        <v>270318</v>
      </c>
      <c r="N111" s="3">
        <f>Tabla1[[#This Row],[margen]]/Tabla1[[#This Row],[venta_total]]</f>
        <v>0.3</v>
      </c>
    </row>
    <row r="112" spans="1:14" x14ac:dyDescent="0.25">
      <c r="A112" s="2">
        <v>45411</v>
      </c>
      <c r="B112" t="s">
        <v>32</v>
      </c>
      <c r="C112" t="s">
        <v>11</v>
      </c>
      <c r="D112" t="s">
        <v>12</v>
      </c>
      <c r="E112" t="s">
        <v>16</v>
      </c>
      <c r="F112" t="s">
        <v>17</v>
      </c>
      <c r="G112">
        <v>1</v>
      </c>
      <c r="H112" s="1">
        <v>3528484</v>
      </c>
      <c r="I112" s="1">
        <v>2752217</v>
      </c>
      <c r="J112" t="s">
        <v>25</v>
      </c>
      <c r="K112" s="1">
        <f>Tabla1[[#This Row],[cantidad]]*Tabla1[[#This Row],[precio_unitario]]</f>
        <v>3528484</v>
      </c>
      <c r="L112" s="1">
        <f>Tabla1[[#This Row],[cantidad]]*Tabla1[[#This Row],[costo_unitario]]</f>
        <v>2752217</v>
      </c>
      <c r="M112" s="1">
        <f>Tabla1[[#This Row],[venta_total]]-Tabla1[[#This Row],[costo_total]]</f>
        <v>776267</v>
      </c>
      <c r="N112" s="3">
        <f>Tabla1[[#This Row],[margen]]/Tabla1[[#This Row],[venta_total]]</f>
        <v>0.22000014737207255</v>
      </c>
    </row>
    <row r="113" spans="1:14" x14ac:dyDescent="0.25">
      <c r="A113" s="2">
        <v>45423</v>
      </c>
      <c r="B113" t="s">
        <v>34</v>
      </c>
      <c r="C113" t="s">
        <v>11</v>
      </c>
      <c r="D113" t="s">
        <v>12</v>
      </c>
      <c r="E113" t="s">
        <v>20</v>
      </c>
      <c r="F113" t="s">
        <v>37</v>
      </c>
      <c r="G113">
        <v>1</v>
      </c>
      <c r="H113" s="1">
        <v>1877626</v>
      </c>
      <c r="I113" s="1">
        <v>1408219</v>
      </c>
      <c r="J113" t="s">
        <v>31</v>
      </c>
      <c r="K113" s="1">
        <f>Tabla1[[#This Row],[cantidad]]*Tabla1[[#This Row],[precio_unitario]]</f>
        <v>1877626</v>
      </c>
      <c r="L113" s="1">
        <f>Tabla1[[#This Row],[cantidad]]*Tabla1[[#This Row],[costo_unitario]]</f>
        <v>1408219</v>
      </c>
      <c r="M113" s="1">
        <f>Tabla1[[#This Row],[venta_total]]-Tabla1[[#This Row],[costo_total]]</f>
        <v>469407</v>
      </c>
      <c r="N113" s="3">
        <f>Tabla1[[#This Row],[margen]]/Tabla1[[#This Row],[venta_total]]</f>
        <v>0.25000026629371347</v>
      </c>
    </row>
    <row r="114" spans="1:14" x14ac:dyDescent="0.25">
      <c r="A114" s="2">
        <v>45399</v>
      </c>
      <c r="B114" t="s">
        <v>18</v>
      </c>
      <c r="C114" t="s">
        <v>11</v>
      </c>
      <c r="D114" t="s">
        <v>23</v>
      </c>
      <c r="E114" t="s">
        <v>16</v>
      </c>
      <c r="F114" t="s">
        <v>24</v>
      </c>
      <c r="G114">
        <v>1</v>
      </c>
      <c r="H114" s="1">
        <v>1964262</v>
      </c>
      <c r="I114" s="1">
        <v>1473196</v>
      </c>
      <c r="J114" t="s">
        <v>29</v>
      </c>
      <c r="K114" s="1">
        <f>Tabla1[[#This Row],[cantidad]]*Tabla1[[#This Row],[precio_unitario]]</f>
        <v>1964262</v>
      </c>
      <c r="L114" s="1">
        <f>Tabla1[[#This Row],[cantidad]]*Tabla1[[#This Row],[costo_unitario]]</f>
        <v>1473196</v>
      </c>
      <c r="M114" s="1">
        <f>Tabla1[[#This Row],[venta_total]]-Tabla1[[#This Row],[costo_total]]</f>
        <v>491066</v>
      </c>
      <c r="N114" s="3">
        <f>Tabla1[[#This Row],[margen]]/Tabla1[[#This Row],[venta_total]]</f>
        <v>0.25000025454852765</v>
      </c>
    </row>
    <row r="115" spans="1:14" x14ac:dyDescent="0.25">
      <c r="A115" s="2">
        <v>45358</v>
      </c>
      <c r="B115" t="s">
        <v>18</v>
      </c>
      <c r="C115" t="s">
        <v>11</v>
      </c>
      <c r="D115" t="s">
        <v>12</v>
      </c>
      <c r="E115" t="s">
        <v>13</v>
      </c>
      <c r="F115" t="s">
        <v>14</v>
      </c>
      <c r="G115">
        <v>1</v>
      </c>
      <c r="H115" s="1">
        <v>4247580</v>
      </c>
      <c r="I115" s="1">
        <v>3398064</v>
      </c>
      <c r="J115" t="s">
        <v>22</v>
      </c>
      <c r="K115" s="1">
        <f>Tabla1[[#This Row],[cantidad]]*Tabla1[[#This Row],[precio_unitario]]</f>
        <v>4247580</v>
      </c>
      <c r="L115" s="1">
        <f>Tabla1[[#This Row],[cantidad]]*Tabla1[[#This Row],[costo_unitario]]</f>
        <v>3398064</v>
      </c>
      <c r="M115" s="1">
        <f>Tabla1[[#This Row],[venta_total]]-Tabla1[[#This Row],[costo_total]]</f>
        <v>849516</v>
      </c>
      <c r="N115" s="3">
        <f>Tabla1[[#This Row],[margen]]/Tabla1[[#This Row],[venta_total]]</f>
        <v>0.2</v>
      </c>
    </row>
    <row r="116" spans="1:14" x14ac:dyDescent="0.25">
      <c r="A116" s="2">
        <v>45347</v>
      </c>
      <c r="B116" t="s">
        <v>32</v>
      </c>
      <c r="C116" t="s">
        <v>11</v>
      </c>
      <c r="D116" t="s">
        <v>38</v>
      </c>
      <c r="E116" t="s">
        <v>13</v>
      </c>
      <c r="F116" t="s">
        <v>41</v>
      </c>
      <c r="G116">
        <v>1</v>
      </c>
      <c r="H116" s="1">
        <v>6490850</v>
      </c>
      <c r="I116" s="1">
        <v>5192680</v>
      </c>
      <c r="J116" t="s">
        <v>31</v>
      </c>
      <c r="K116" s="1">
        <f>Tabla1[[#This Row],[cantidad]]*Tabla1[[#This Row],[precio_unitario]]</f>
        <v>6490850</v>
      </c>
      <c r="L116" s="1">
        <f>Tabla1[[#This Row],[cantidad]]*Tabla1[[#This Row],[costo_unitario]]</f>
        <v>5192680</v>
      </c>
      <c r="M116" s="1">
        <f>Tabla1[[#This Row],[venta_total]]-Tabla1[[#This Row],[costo_total]]</f>
        <v>1298170</v>
      </c>
      <c r="N116" s="3">
        <f>Tabla1[[#This Row],[margen]]/Tabla1[[#This Row],[venta_total]]</f>
        <v>0.2</v>
      </c>
    </row>
    <row r="117" spans="1:14" x14ac:dyDescent="0.25">
      <c r="A117" s="2">
        <v>45330</v>
      </c>
      <c r="B117" t="s">
        <v>32</v>
      </c>
      <c r="C117" t="s">
        <v>11</v>
      </c>
      <c r="D117" t="s">
        <v>12</v>
      </c>
      <c r="E117" t="s">
        <v>16</v>
      </c>
      <c r="F117" t="s">
        <v>17</v>
      </c>
      <c r="G117">
        <v>1</v>
      </c>
      <c r="H117" s="1">
        <v>3141267</v>
      </c>
      <c r="I117" s="1">
        <v>2450188</v>
      </c>
      <c r="J117" t="s">
        <v>25</v>
      </c>
      <c r="K117" s="1">
        <f>Tabla1[[#This Row],[cantidad]]*Tabla1[[#This Row],[precio_unitario]]</f>
        <v>3141267</v>
      </c>
      <c r="L117" s="1">
        <f>Tabla1[[#This Row],[cantidad]]*Tabla1[[#This Row],[costo_unitario]]</f>
        <v>2450188</v>
      </c>
      <c r="M117" s="1">
        <f>Tabla1[[#This Row],[venta_total]]-Tabla1[[#This Row],[costo_total]]</f>
        <v>691079</v>
      </c>
      <c r="N117" s="3">
        <f>Tabla1[[#This Row],[margen]]/Tabla1[[#This Row],[venta_total]]</f>
        <v>0.22000008276915015</v>
      </c>
    </row>
    <row r="118" spans="1:14" x14ac:dyDescent="0.25">
      <c r="A118" s="2">
        <v>45435</v>
      </c>
      <c r="B118" t="s">
        <v>32</v>
      </c>
      <c r="C118" t="s">
        <v>11</v>
      </c>
      <c r="D118" t="s">
        <v>19</v>
      </c>
      <c r="E118" t="s">
        <v>20</v>
      </c>
      <c r="F118" t="s">
        <v>21</v>
      </c>
      <c r="G118">
        <v>3</v>
      </c>
      <c r="H118" s="1">
        <v>227055</v>
      </c>
      <c r="I118" s="1">
        <v>136233</v>
      </c>
      <c r="J118" t="s">
        <v>15</v>
      </c>
      <c r="K118" s="1">
        <f>Tabla1[[#This Row],[cantidad]]*Tabla1[[#This Row],[precio_unitario]]</f>
        <v>681165</v>
      </c>
      <c r="L118" s="1">
        <f>Tabla1[[#This Row],[cantidad]]*Tabla1[[#This Row],[costo_unitario]]</f>
        <v>408699</v>
      </c>
      <c r="M118" s="1">
        <f>Tabla1[[#This Row],[venta_total]]-Tabla1[[#This Row],[costo_total]]</f>
        <v>272466</v>
      </c>
      <c r="N118" s="3">
        <f>Tabla1[[#This Row],[margen]]/Tabla1[[#This Row],[venta_total]]</f>
        <v>0.4</v>
      </c>
    </row>
    <row r="119" spans="1:14" x14ac:dyDescent="0.25">
      <c r="A119" s="2">
        <v>45371</v>
      </c>
      <c r="B119" t="s">
        <v>18</v>
      </c>
      <c r="C119" t="s">
        <v>11</v>
      </c>
      <c r="D119" t="s">
        <v>23</v>
      </c>
      <c r="E119" t="s">
        <v>20</v>
      </c>
      <c r="F119" t="s">
        <v>30</v>
      </c>
      <c r="G119">
        <v>1</v>
      </c>
      <c r="H119" s="1">
        <v>1270467</v>
      </c>
      <c r="I119" s="1">
        <v>889326</v>
      </c>
      <c r="J119" t="s">
        <v>29</v>
      </c>
      <c r="K119" s="1">
        <f>Tabla1[[#This Row],[cantidad]]*Tabla1[[#This Row],[precio_unitario]]</f>
        <v>1270467</v>
      </c>
      <c r="L119" s="1">
        <f>Tabla1[[#This Row],[cantidad]]*Tabla1[[#This Row],[costo_unitario]]</f>
        <v>889326</v>
      </c>
      <c r="M119" s="1">
        <f>Tabla1[[#This Row],[venta_total]]-Tabla1[[#This Row],[costo_total]]</f>
        <v>381141</v>
      </c>
      <c r="N119" s="3">
        <f>Tabla1[[#This Row],[margen]]/Tabla1[[#This Row],[venta_total]]</f>
        <v>0.30000070840092657</v>
      </c>
    </row>
    <row r="120" spans="1:14" x14ac:dyDescent="0.25">
      <c r="A120" s="2">
        <v>45458</v>
      </c>
      <c r="B120" t="s">
        <v>32</v>
      </c>
      <c r="C120" t="s">
        <v>11</v>
      </c>
      <c r="D120" t="s">
        <v>12</v>
      </c>
      <c r="E120" t="s">
        <v>13</v>
      </c>
      <c r="F120" t="s">
        <v>14</v>
      </c>
      <c r="G120">
        <v>1</v>
      </c>
      <c r="H120" s="1">
        <v>5435577</v>
      </c>
      <c r="I120" s="1">
        <v>4348461</v>
      </c>
      <c r="J120" t="s">
        <v>25</v>
      </c>
      <c r="K120" s="1">
        <f>Tabla1[[#This Row],[cantidad]]*Tabla1[[#This Row],[precio_unitario]]</f>
        <v>5435577</v>
      </c>
      <c r="L120" s="1">
        <f>Tabla1[[#This Row],[cantidad]]*Tabla1[[#This Row],[costo_unitario]]</f>
        <v>4348461</v>
      </c>
      <c r="M120" s="1">
        <f>Tabla1[[#This Row],[venta_total]]-Tabla1[[#This Row],[costo_total]]</f>
        <v>1087116</v>
      </c>
      <c r="N120" s="3">
        <f>Tabla1[[#This Row],[margen]]/Tabla1[[#This Row],[venta_total]]</f>
        <v>0.20000011038386542</v>
      </c>
    </row>
    <row r="121" spans="1:14" x14ac:dyDescent="0.25">
      <c r="A121" s="2">
        <v>45430</v>
      </c>
      <c r="B121" t="s">
        <v>10</v>
      </c>
      <c r="C121" t="s">
        <v>11</v>
      </c>
      <c r="D121" t="s">
        <v>12</v>
      </c>
      <c r="E121" t="s">
        <v>13</v>
      </c>
      <c r="F121" t="s">
        <v>14</v>
      </c>
      <c r="G121">
        <v>1</v>
      </c>
      <c r="H121" s="1">
        <v>4286171</v>
      </c>
      <c r="I121" s="1">
        <v>3428936</v>
      </c>
      <c r="J121" t="s">
        <v>29</v>
      </c>
      <c r="K121" s="1">
        <f>Tabla1[[#This Row],[cantidad]]*Tabla1[[#This Row],[precio_unitario]]</f>
        <v>4286171</v>
      </c>
      <c r="L121" s="1">
        <f>Tabla1[[#This Row],[cantidad]]*Tabla1[[#This Row],[costo_unitario]]</f>
        <v>3428936</v>
      </c>
      <c r="M121" s="1">
        <f>Tabla1[[#This Row],[venta_total]]-Tabla1[[#This Row],[costo_total]]</f>
        <v>857235</v>
      </c>
      <c r="N121" s="3">
        <f>Tabla1[[#This Row],[margen]]/Tabla1[[#This Row],[venta_total]]</f>
        <v>0.20000018664677635</v>
      </c>
    </row>
    <row r="122" spans="1:14" x14ac:dyDescent="0.25">
      <c r="A122" s="2">
        <v>45418</v>
      </c>
      <c r="B122" t="s">
        <v>32</v>
      </c>
      <c r="C122" t="s">
        <v>11</v>
      </c>
      <c r="D122" t="s">
        <v>26</v>
      </c>
      <c r="E122" t="s">
        <v>16</v>
      </c>
      <c r="F122" t="s">
        <v>40</v>
      </c>
      <c r="G122">
        <v>1</v>
      </c>
      <c r="H122" s="1">
        <v>4261584</v>
      </c>
      <c r="I122" s="1">
        <v>3324035</v>
      </c>
      <c r="J122" t="s">
        <v>15</v>
      </c>
      <c r="K122" s="1">
        <f>Tabla1[[#This Row],[cantidad]]*Tabla1[[#This Row],[precio_unitario]]</f>
        <v>4261584</v>
      </c>
      <c r="L122" s="1">
        <f>Tabla1[[#This Row],[cantidad]]*Tabla1[[#This Row],[costo_unitario]]</f>
        <v>3324035</v>
      </c>
      <c r="M122" s="1">
        <f>Tabla1[[#This Row],[venta_total]]-Tabla1[[#This Row],[costo_total]]</f>
        <v>937549</v>
      </c>
      <c r="N122" s="3">
        <f>Tabla1[[#This Row],[margen]]/Tabla1[[#This Row],[venta_total]]</f>
        <v>0.22000012202035674</v>
      </c>
    </row>
    <row r="123" spans="1:14" x14ac:dyDescent="0.25">
      <c r="A123" s="2">
        <v>45383</v>
      </c>
      <c r="B123" t="s">
        <v>34</v>
      </c>
      <c r="C123" t="s">
        <v>11</v>
      </c>
      <c r="D123" t="s">
        <v>38</v>
      </c>
      <c r="E123" t="s">
        <v>13</v>
      </c>
      <c r="F123" t="s">
        <v>41</v>
      </c>
      <c r="G123">
        <v>1</v>
      </c>
      <c r="H123" s="1">
        <v>6770601</v>
      </c>
      <c r="I123" s="1">
        <v>5416480</v>
      </c>
      <c r="J123" t="s">
        <v>22</v>
      </c>
      <c r="K123" s="1">
        <f>Tabla1[[#This Row],[cantidad]]*Tabla1[[#This Row],[precio_unitario]]</f>
        <v>6770601</v>
      </c>
      <c r="L123" s="1">
        <f>Tabla1[[#This Row],[cantidad]]*Tabla1[[#This Row],[costo_unitario]]</f>
        <v>5416480</v>
      </c>
      <c r="M123" s="1">
        <f>Tabla1[[#This Row],[venta_total]]-Tabla1[[#This Row],[costo_total]]</f>
        <v>1354121</v>
      </c>
      <c r="N123" s="3">
        <f>Tabla1[[#This Row],[margen]]/Tabla1[[#This Row],[venta_total]]</f>
        <v>0.20000011815790061</v>
      </c>
    </row>
    <row r="124" spans="1:14" x14ac:dyDescent="0.25">
      <c r="A124" s="2">
        <v>45350</v>
      </c>
      <c r="B124" t="s">
        <v>10</v>
      </c>
      <c r="C124" t="s">
        <v>11</v>
      </c>
      <c r="D124" t="s">
        <v>12</v>
      </c>
      <c r="E124" t="s">
        <v>13</v>
      </c>
      <c r="F124" t="s">
        <v>14</v>
      </c>
      <c r="G124">
        <v>1</v>
      </c>
      <c r="H124" s="1">
        <v>4471808</v>
      </c>
      <c r="I124" s="1">
        <v>3577446</v>
      </c>
      <c r="J124" t="s">
        <v>29</v>
      </c>
      <c r="K124" s="1">
        <f>Tabla1[[#This Row],[cantidad]]*Tabla1[[#This Row],[precio_unitario]]</f>
        <v>4471808</v>
      </c>
      <c r="L124" s="1">
        <f>Tabla1[[#This Row],[cantidad]]*Tabla1[[#This Row],[costo_unitario]]</f>
        <v>3577446</v>
      </c>
      <c r="M124" s="1">
        <f>Tabla1[[#This Row],[venta_total]]-Tabla1[[#This Row],[costo_total]]</f>
        <v>894362</v>
      </c>
      <c r="N124" s="3">
        <f>Tabla1[[#This Row],[margen]]/Tabla1[[#This Row],[venta_total]]</f>
        <v>0.20000008944927869</v>
      </c>
    </row>
    <row r="125" spans="1:14" x14ac:dyDescent="0.25">
      <c r="A125" s="2">
        <v>45465</v>
      </c>
      <c r="B125" t="s">
        <v>32</v>
      </c>
      <c r="C125" t="s">
        <v>11</v>
      </c>
      <c r="D125" t="s">
        <v>38</v>
      </c>
      <c r="E125" t="s">
        <v>16</v>
      </c>
      <c r="F125" t="s">
        <v>39</v>
      </c>
      <c r="G125">
        <v>1</v>
      </c>
      <c r="H125" s="1">
        <v>4184575</v>
      </c>
      <c r="I125" s="1">
        <v>3138431</v>
      </c>
      <c r="J125" t="s">
        <v>15</v>
      </c>
      <c r="K125" s="1">
        <f>Tabla1[[#This Row],[cantidad]]*Tabla1[[#This Row],[precio_unitario]]</f>
        <v>4184575</v>
      </c>
      <c r="L125" s="1">
        <f>Tabla1[[#This Row],[cantidad]]*Tabla1[[#This Row],[costo_unitario]]</f>
        <v>3138431</v>
      </c>
      <c r="M125" s="1">
        <f>Tabla1[[#This Row],[venta_total]]-Tabla1[[#This Row],[costo_total]]</f>
        <v>1046144</v>
      </c>
      <c r="N125" s="3">
        <f>Tabla1[[#This Row],[margen]]/Tabla1[[#This Row],[venta_total]]</f>
        <v>0.25000005974322365</v>
      </c>
    </row>
    <row r="126" spans="1:14" x14ac:dyDescent="0.25">
      <c r="A126" s="2">
        <v>45469</v>
      </c>
      <c r="B126" t="s">
        <v>18</v>
      </c>
      <c r="C126" t="s">
        <v>11</v>
      </c>
      <c r="D126" t="s">
        <v>26</v>
      </c>
      <c r="E126" t="s">
        <v>20</v>
      </c>
      <c r="F126" t="s">
        <v>36</v>
      </c>
      <c r="G126">
        <v>1</v>
      </c>
      <c r="H126" s="1">
        <v>3082267</v>
      </c>
      <c r="I126" s="1">
        <v>2311700</v>
      </c>
      <c r="J126" t="s">
        <v>31</v>
      </c>
      <c r="K126" s="1">
        <f>Tabla1[[#This Row],[cantidad]]*Tabla1[[#This Row],[precio_unitario]]</f>
        <v>3082267</v>
      </c>
      <c r="L126" s="1">
        <f>Tabla1[[#This Row],[cantidad]]*Tabla1[[#This Row],[costo_unitario]]</f>
        <v>2311700</v>
      </c>
      <c r="M126" s="1">
        <f>Tabla1[[#This Row],[venta_total]]-Tabla1[[#This Row],[costo_total]]</f>
        <v>770567</v>
      </c>
      <c r="N126" s="3">
        <f>Tabla1[[#This Row],[margen]]/Tabla1[[#This Row],[venta_total]]</f>
        <v>0.25000008110913169</v>
      </c>
    </row>
    <row r="127" spans="1:14" x14ac:dyDescent="0.25">
      <c r="A127" s="2">
        <v>45405</v>
      </c>
      <c r="B127" t="s">
        <v>10</v>
      </c>
      <c r="C127" t="s">
        <v>11</v>
      </c>
      <c r="D127" t="s">
        <v>23</v>
      </c>
      <c r="E127" t="s">
        <v>13</v>
      </c>
      <c r="F127" t="s">
        <v>28</v>
      </c>
      <c r="G127">
        <v>1</v>
      </c>
      <c r="H127" s="1">
        <v>2023773</v>
      </c>
      <c r="I127" s="1">
        <v>1619018</v>
      </c>
      <c r="J127" t="s">
        <v>15</v>
      </c>
      <c r="K127" s="1">
        <f>Tabla1[[#This Row],[cantidad]]*Tabla1[[#This Row],[precio_unitario]]</f>
        <v>2023773</v>
      </c>
      <c r="L127" s="1">
        <f>Tabla1[[#This Row],[cantidad]]*Tabla1[[#This Row],[costo_unitario]]</f>
        <v>1619018</v>
      </c>
      <c r="M127" s="1">
        <f>Tabla1[[#This Row],[venta_total]]-Tabla1[[#This Row],[costo_total]]</f>
        <v>404755</v>
      </c>
      <c r="N127" s="3">
        <f>Tabla1[[#This Row],[margen]]/Tabla1[[#This Row],[venta_total]]</f>
        <v>0.20000019765062585</v>
      </c>
    </row>
    <row r="128" spans="1:14" x14ac:dyDescent="0.25">
      <c r="A128" s="2">
        <v>45417</v>
      </c>
      <c r="B128" t="s">
        <v>34</v>
      </c>
      <c r="C128" t="s">
        <v>11</v>
      </c>
      <c r="D128" t="s">
        <v>26</v>
      </c>
      <c r="E128" t="s">
        <v>13</v>
      </c>
      <c r="F128" t="s">
        <v>27</v>
      </c>
      <c r="G128">
        <v>1</v>
      </c>
      <c r="H128" s="1">
        <v>5786824</v>
      </c>
      <c r="I128" s="1">
        <v>4629459</v>
      </c>
      <c r="J128" t="s">
        <v>31</v>
      </c>
      <c r="K128" s="1">
        <f>Tabla1[[#This Row],[cantidad]]*Tabla1[[#This Row],[precio_unitario]]</f>
        <v>5786824</v>
      </c>
      <c r="L128" s="1">
        <f>Tabla1[[#This Row],[cantidad]]*Tabla1[[#This Row],[costo_unitario]]</f>
        <v>4629459</v>
      </c>
      <c r="M128" s="1">
        <f>Tabla1[[#This Row],[venta_total]]-Tabla1[[#This Row],[costo_total]]</f>
        <v>1157365</v>
      </c>
      <c r="N128" s="3">
        <f>Tabla1[[#This Row],[margen]]/Tabla1[[#This Row],[venta_total]]</f>
        <v>0.2000000345612723</v>
      </c>
    </row>
    <row r="129" spans="1:14" x14ac:dyDescent="0.25">
      <c r="A129" s="2">
        <v>45357</v>
      </c>
      <c r="B129" t="s">
        <v>18</v>
      </c>
      <c r="C129" t="s">
        <v>11</v>
      </c>
      <c r="D129" t="s">
        <v>38</v>
      </c>
      <c r="E129" t="s">
        <v>20</v>
      </c>
      <c r="F129" t="s">
        <v>42</v>
      </c>
      <c r="G129">
        <v>1</v>
      </c>
      <c r="H129" s="1">
        <v>2922868</v>
      </c>
      <c r="I129" s="1">
        <v>2104464</v>
      </c>
      <c r="J129" t="s">
        <v>29</v>
      </c>
      <c r="K129" s="1">
        <f>Tabla1[[#This Row],[cantidad]]*Tabla1[[#This Row],[precio_unitario]]</f>
        <v>2922868</v>
      </c>
      <c r="L129" s="1">
        <f>Tabla1[[#This Row],[cantidad]]*Tabla1[[#This Row],[costo_unitario]]</f>
        <v>2104464</v>
      </c>
      <c r="M129" s="1">
        <f>Tabla1[[#This Row],[venta_total]]-Tabla1[[#This Row],[costo_total]]</f>
        <v>818404</v>
      </c>
      <c r="N129" s="3">
        <f>Tabla1[[#This Row],[margen]]/Tabla1[[#This Row],[venta_total]]</f>
        <v>0.28000032844452777</v>
      </c>
    </row>
    <row r="130" spans="1:14" x14ac:dyDescent="0.25">
      <c r="A130" s="2">
        <v>45467</v>
      </c>
      <c r="B130" t="s">
        <v>34</v>
      </c>
      <c r="C130" t="s">
        <v>11</v>
      </c>
      <c r="D130" t="s">
        <v>38</v>
      </c>
      <c r="E130" t="s">
        <v>13</v>
      </c>
      <c r="F130" t="s">
        <v>41</v>
      </c>
      <c r="G130">
        <v>1</v>
      </c>
      <c r="H130" s="1">
        <v>6843218</v>
      </c>
      <c r="I130" s="1">
        <v>5474574</v>
      </c>
      <c r="J130" t="s">
        <v>25</v>
      </c>
      <c r="K130" s="1">
        <f>Tabla1[[#This Row],[cantidad]]*Tabla1[[#This Row],[precio_unitario]]</f>
        <v>6843218</v>
      </c>
      <c r="L130" s="1">
        <f>Tabla1[[#This Row],[cantidad]]*Tabla1[[#This Row],[costo_unitario]]</f>
        <v>5474574</v>
      </c>
      <c r="M130" s="1">
        <f>Tabla1[[#This Row],[venta_total]]-Tabla1[[#This Row],[costo_total]]</f>
        <v>1368644</v>
      </c>
      <c r="N130" s="3">
        <f>Tabla1[[#This Row],[margen]]/Tabla1[[#This Row],[venta_total]]</f>
        <v>0.20000005845203236</v>
      </c>
    </row>
    <row r="131" spans="1:14" x14ac:dyDescent="0.25">
      <c r="A131" s="2">
        <v>45421</v>
      </c>
      <c r="B131" t="s">
        <v>32</v>
      </c>
      <c r="C131" t="s">
        <v>11</v>
      </c>
      <c r="D131" t="s">
        <v>38</v>
      </c>
      <c r="E131" t="s">
        <v>16</v>
      </c>
      <c r="F131" t="s">
        <v>39</v>
      </c>
      <c r="G131">
        <v>1</v>
      </c>
      <c r="H131" s="1">
        <v>4161107</v>
      </c>
      <c r="I131" s="1">
        <v>3120830</v>
      </c>
      <c r="J131" t="s">
        <v>29</v>
      </c>
      <c r="K131" s="1">
        <f>Tabla1[[#This Row],[cantidad]]*Tabla1[[#This Row],[precio_unitario]]</f>
        <v>4161107</v>
      </c>
      <c r="L131" s="1">
        <f>Tabla1[[#This Row],[cantidad]]*Tabla1[[#This Row],[costo_unitario]]</f>
        <v>3120830</v>
      </c>
      <c r="M131" s="1">
        <f>Tabla1[[#This Row],[venta_total]]-Tabla1[[#This Row],[costo_total]]</f>
        <v>1040277</v>
      </c>
      <c r="N131" s="3">
        <f>Tabla1[[#This Row],[margen]]/Tabla1[[#This Row],[venta_total]]</f>
        <v>0.25000006008016618</v>
      </c>
    </row>
    <row r="132" spans="1:14" x14ac:dyDescent="0.25">
      <c r="A132" s="2">
        <v>45351</v>
      </c>
      <c r="B132" t="s">
        <v>32</v>
      </c>
      <c r="C132" t="s">
        <v>11</v>
      </c>
      <c r="D132" t="s">
        <v>38</v>
      </c>
      <c r="E132" t="s">
        <v>16</v>
      </c>
      <c r="F132" t="s">
        <v>39</v>
      </c>
      <c r="G132">
        <v>1</v>
      </c>
      <c r="H132" s="1">
        <v>5705234</v>
      </c>
      <c r="I132" s="1">
        <v>4278925</v>
      </c>
      <c r="J132" t="s">
        <v>29</v>
      </c>
      <c r="K132" s="1">
        <f>Tabla1[[#This Row],[cantidad]]*Tabla1[[#This Row],[precio_unitario]]</f>
        <v>5705234</v>
      </c>
      <c r="L132" s="1">
        <f>Tabla1[[#This Row],[cantidad]]*Tabla1[[#This Row],[costo_unitario]]</f>
        <v>4278925</v>
      </c>
      <c r="M132" s="1">
        <f>Tabla1[[#This Row],[venta_total]]-Tabla1[[#This Row],[costo_total]]</f>
        <v>1426309</v>
      </c>
      <c r="N132" s="3">
        <f>Tabla1[[#This Row],[margen]]/Tabla1[[#This Row],[venta_total]]</f>
        <v>0.25000008763882425</v>
      </c>
    </row>
    <row r="133" spans="1:14" x14ac:dyDescent="0.25">
      <c r="A133" s="2">
        <v>45429</v>
      </c>
      <c r="B133" t="s">
        <v>34</v>
      </c>
      <c r="C133" t="s">
        <v>11</v>
      </c>
      <c r="D133" t="s">
        <v>23</v>
      </c>
      <c r="E133" t="s">
        <v>13</v>
      </c>
      <c r="F133" t="s">
        <v>28</v>
      </c>
      <c r="G133">
        <v>1</v>
      </c>
      <c r="H133" s="1">
        <v>3000622</v>
      </c>
      <c r="I133" s="1">
        <v>2400497</v>
      </c>
      <c r="J133" t="s">
        <v>15</v>
      </c>
      <c r="K133" s="1">
        <f>Tabla1[[#This Row],[cantidad]]*Tabla1[[#This Row],[precio_unitario]]</f>
        <v>3000622</v>
      </c>
      <c r="L133" s="1">
        <f>Tabla1[[#This Row],[cantidad]]*Tabla1[[#This Row],[costo_unitario]]</f>
        <v>2400497</v>
      </c>
      <c r="M133" s="1">
        <f>Tabla1[[#This Row],[venta_total]]-Tabla1[[#This Row],[costo_total]]</f>
        <v>600125</v>
      </c>
      <c r="N133" s="3">
        <f>Tabla1[[#This Row],[margen]]/Tabla1[[#This Row],[venta_total]]</f>
        <v>0.20000019995854193</v>
      </c>
    </row>
    <row r="134" spans="1:14" x14ac:dyDescent="0.25">
      <c r="A134" s="2">
        <v>45370</v>
      </c>
      <c r="B134" t="s">
        <v>18</v>
      </c>
      <c r="C134" t="s">
        <v>11</v>
      </c>
      <c r="D134" t="s">
        <v>26</v>
      </c>
      <c r="E134" t="s">
        <v>13</v>
      </c>
      <c r="F134" t="s">
        <v>27</v>
      </c>
      <c r="G134">
        <v>1</v>
      </c>
      <c r="H134" s="1">
        <v>9142888</v>
      </c>
      <c r="I134" s="1">
        <v>7314310</v>
      </c>
      <c r="J134" t="s">
        <v>31</v>
      </c>
      <c r="K134" s="1">
        <f>Tabla1[[#This Row],[cantidad]]*Tabla1[[#This Row],[precio_unitario]]</f>
        <v>9142888</v>
      </c>
      <c r="L134" s="1">
        <f>Tabla1[[#This Row],[cantidad]]*Tabla1[[#This Row],[costo_unitario]]</f>
        <v>7314310</v>
      </c>
      <c r="M134" s="1">
        <f>Tabla1[[#This Row],[venta_total]]-Tabla1[[#This Row],[costo_total]]</f>
        <v>1828578</v>
      </c>
      <c r="N134" s="3">
        <f>Tabla1[[#This Row],[margen]]/Tabla1[[#This Row],[venta_total]]</f>
        <v>0.20000004374985234</v>
      </c>
    </row>
    <row r="135" spans="1:14" x14ac:dyDescent="0.25">
      <c r="A135" s="2">
        <v>45352</v>
      </c>
      <c r="B135" t="s">
        <v>34</v>
      </c>
      <c r="C135" t="s">
        <v>11</v>
      </c>
      <c r="D135" t="s">
        <v>19</v>
      </c>
      <c r="E135" t="s">
        <v>16</v>
      </c>
      <c r="F135" t="s">
        <v>35</v>
      </c>
      <c r="G135">
        <v>3</v>
      </c>
      <c r="H135" s="1">
        <v>918892</v>
      </c>
      <c r="I135" s="1">
        <v>597279</v>
      </c>
      <c r="J135" t="s">
        <v>15</v>
      </c>
      <c r="K135" s="1">
        <f>Tabla1[[#This Row],[cantidad]]*Tabla1[[#This Row],[precio_unitario]]</f>
        <v>2756676</v>
      </c>
      <c r="L135" s="1">
        <f>Tabla1[[#This Row],[cantidad]]*Tabla1[[#This Row],[costo_unitario]]</f>
        <v>1791837</v>
      </c>
      <c r="M135" s="1">
        <f>Tabla1[[#This Row],[venta_total]]-Tabla1[[#This Row],[costo_total]]</f>
        <v>964839</v>
      </c>
      <c r="N135" s="3">
        <f>Tabla1[[#This Row],[margen]]/Tabla1[[#This Row],[venta_total]]</f>
        <v>0.35000087061373913</v>
      </c>
    </row>
    <row r="136" spans="1:14" x14ac:dyDescent="0.25">
      <c r="A136" s="2">
        <v>45430</v>
      </c>
      <c r="B136" t="s">
        <v>10</v>
      </c>
      <c r="C136" t="s">
        <v>11</v>
      </c>
      <c r="D136" t="s">
        <v>19</v>
      </c>
      <c r="E136" t="s">
        <v>13</v>
      </c>
      <c r="F136" t="s">
        <v>33</v>
      </c>
      <c r="G136">
        <v>3</v>
      </c>
      <c r="H136" s="1">
        <v>1999776</v>
      </c>
      <c r="I136" s="1">
        <v>1399843</v>
      </c>
      <c r="J136" t="s">
        <v>15</v>
      </c>
      <c r="K136" s="1">
        <f>Tabla1[[#This Row],[cantidad]]*Tabla1[[#This Row],[precio_unitario]]</f>
        <v>5999328</v>
      </c>
      <c r="L136" s="1">
        <f>Tabla1[[#This Row],[cantidad]]*Tabla1[[#This Row],[costo_unitario]]</f>
        <v>4199529</v>
      </c>
      <c r="M136" s="1">
        <f>Tabla1[[#This Row],[venta_total]]-Tabla1[[#This Row],[costo_total]]</f>
        <v>1799799</v>
      </c>
      <c r="N136" s="3">
        <f>Tabla1[[#This Row],[margen]]/Tabla1[[#This Row],[venta_total]]</f>
        <v>0.30000010001120125</v>
      </c>
    </row>
    <row r="137" spans="1:14" x14ac:dyDescent="0.25">
      <c r="A137" s="2">
        <v>45456</v>
      </c>
      <c r="B137" t="s">
        <v>34</v>
      </c>
      <c r="C137" t="s">
        <v>11</v>
      </c>
      <c r="D137" t="s">
        <v>38</v>
      </c>
      <c r="E137" t="s">
        <v>16</v>
      </c>
      <c r="F137" t="s">
        <v>39</v>
      </c>
      <c r="G137">
        <v>1</v>
      </c>
      <c r="H137" s="1">
        <v>5589245</v>
      </c>
      <c r="I137" s="1">
        <v>4191933</v>
      </c>
      <c r="J137" t="s">
        <v>25</v>
      </c>
      <c r="K137" s="1">
        <f>Tabla1[[#This Row],[cantidad]]*Tabla1[[#This Row],[precio_unitario]]</f>
        <v>5589245</v>
      </c>
      <c r="L137" s="1">
        <f>Tabla1[[#This Row],[cantidad]]*Tabla1[[#This Row],[costo_unitario]]</f>
        <v>4191933</v>
      </c>
      <c r="M137" s="1">
        <f>Tabla1[[#This Row],[venta_total]]-Tabla1[[#This Row],[costo_total]]</f>
        <v>1397312</v>
      </c>
      <c r="N137" s="3">
        <f>Tabla1[[#This Row],[margen]]/Tabla1[[#This Row],[venta_total]]</f>
        <v>0.25000013418628098</v>
      </c>
    </row>
    <row r="138" spans="1:14" x14ac:dyDescent="0.25">
      <c r="A138" s="2">
        <v>45340</v>
      </c>
      <c r="B138" t="s">
        <v>34</v>
      </c>
      <c r="C138" t="s">
        <v>11</v>
      </c>
      <c r="D138" t="s">
        <v>23</v>
      </c>
      <c r="E138" t="s">
        <v>16</v>
      </c>
      <c r="F138" t="s">
        <v>24</v>
      </c>
      <c r="G138">
        <v>1</v>
      </c>
      <c r="H138" s="1">
        <v>1488181</v>
      </c>
      <c r="I138" s="1">
        <v>1116135</v>
      </c>
      <c r="J138" t="s">
        <v>29</v>
      </c>
      <c r="K138" s="1">
        <f>Tabla1[[#This Row],[cantidad]]*Tabla1[[#This Row],[precio_unitario]]</f>
        <v>1488181</v>
      </c>
      <c r="L138" s="1">
        <f>Tabla1[[#This Row],[cantidad]]*Tabla1[[#This Row],[costo_unitario]]</f>
        <v>1116135</v>
      </c>
      <c r="M138" s="1">
        <f>Tabla1[[#This Row],[venta_total]]-Tabla1[[#This Row],[costo_total]]</f>
        <v>372046</v>
      </c>
      <c r="N138" s="3">
        <f>Tabla1[[#This Row],[margen]]/Tabla1[[#This Row],[venta_total]]</f>
        <v>0.25000050397095513</v>
      </c>
    </row>
    <row r="139" spans="1:14" x14ac:dyDescent="0.25">
      <c r="A139" s="2">
        <v>45467</v>
      </c>
      <c r="B139" t="s">
        <v>18</v>
      </c>
      <c r="C139" t="s">
        <v>11</v>
      </c>
      <c r="D139" t="s">
        <v>38</v>
      </c>
      <c r="E139" t="s">
        <v>13</v>
      </c>
      <c r="F139" t="s">
        <v>41</v>
      </c>
      <c r="G139">
        <v>1</v>
      </c>
      <c r="H139" s="1">
        <v>6343545</v>
      </c>
      <c r="I139" s="1">
        <v>5074836</v>
      </c>
      <c r="J139" t="s">
        <v>25</v>
      </c>
      <c r="K139" s="1">
        <f>Tabla1[[#This Row],[cantidad]]*Tabla1[[#This Row],[precio_unitario]]</f>
        <v>6343545</v>
      </c>
      <c r="L139" s="1">
        <f>Tabla1[[#This Row],[cantidad]]*Tabla1[[#This Row],[costo_unitario]]</f>
        <v>5074836</v>
      </c>
      <c r="M139" s="1">
        <f>Tabla1[[#This Row],[venta_total]]-Tabla1[[#This Row],[costo_total]]</f>
        <v>1268709</v>
      </c>
      <c r="N139" s="3">
        <f>Tabla1[[#This Row],[margen]]/Tabla1[[#This Row],[venta_total]]</f>
        <v>0.2</v>
      </c>
    </row>
    <row r="140" spans="1:14" x14ac:dyDescent="0.25">
      <c r="A140" s="2">
        <v>45440</v>
      </c>
      <c r="B140" t="s">
        <v>18</v>
      </c>
      <c r="C140" t="s">
        <v>11</v>
      </c>
      <c r="D140" t="s">
        <v>26</v>
      </c>
      <c r="E140" t="s">
        <v>20</v>
      </c>
      <c r="F140" t="s">
        <v>36</v>
      </c>
      <c r="G140">
        <v>1</v>
      </c>
      <c r="H140" s="1">
        <v>2939408</v>
      </c>
      <c r="I140" s="1">
        <v>2204556</v>
      </c>
      <c r="J140" t="s">
        <v>22</v>
      </c>
      <c r="K140" s="1">
        <f>Tabla1[[#This Row],[cantidad]]*Tabla1[[#This Row],[precio_unitario]]</f>
        <v>2939408</v>
      </c>
      <c r="L140" s="1">
        <f>Tabla1[[#This Row],[cantidad]]*Tabla1[[#This Row],[costo_unitario]]</f>
        <v>2204556</v>
      </c>
      <c r="M140" s="1">
        <f>Tabla1[[#This Row],[venta_total]]-Tabla1[[#This Row],[costo_total]]</f>
        <v>734852</v>
      </c>
      <c r="N140" s="3">
        <f>Tabla1[[#This Row],[margen]]/Tabla1[[#This Row],[venta_total]]</f>
        <v>0.25</v>
      </c>
    </row>
    <row r="141" spans="1:14" x14ac:dyDescent="0.25">
      <c r="A141" s="2">
        <v>45424</v>
      </c>
      <c r="B141" t="s">
        <v>34</v>
      </c>
      <c r="C141" t="s">
        <v>11</v>
      </c>
      <c r="D141" t="s">
        <v>19</v>
      </c>
      <c r="E141" t="s">
        <v>13</v>
      </c>
      <c r="F141" t="s">
        <v>33</v>
      </c>
      <c r="G141">
        <v>1</v>
      </c>
      <c r="H141" s="1">
        <v>1388535</v>
      </c>
      <c r="I141" s="1">
        <v>971974</v>
      </c>
      <c r="J141" t="s">
        <v>15</v>
      </c>
      <c r="K141" s="1">
        <f>Tabla1[[#This Row],[cantidad]]*Tabla1[[#This Row],[precio_unitario]]</f>
        <v>1388535</v>
      </c>
      <c r="L141" s="1">
        <f>Tabla1[[#This Row],[cantidad]]*Tabla1[[#This Row],[costo_unitario]]</f>
        <v>971974</v>
      </c>
      <c r="M141" s="1">
        <f>Tabla1[[#This Row],[venta_total]]-Tabla1[[#This Row],[costo_total]]</f>
        <v>416561</v>
      </c>
      <c r="N141" s="3">
        <f>Tabla1[[#This Row],[margen]]/Tabla1[[#This Row],[venta_total]]</f>
        <v>0.30000036009175141</v>
      </c>
    </row>
    <row r="142" spans="1:14" x14ac:dyDescent="0.25">
      <c r="A142" s="2">
        <v>45307</v>
      </c>
      <c r="B142" t="s">
        <v>34</v>
      </c>
      <c r="C142" t="s">
        <v>11</v>
      </c>
      <c r="D142" t="s">
        <v>23</v>
      </c>
      <c r="E142" t="s">
        <v>16</v>
      </c>
      <c r="F142" t="s">
        <v>24</v>
      </c>
      <c r="G142">
        <v>1</v>
      </c>
      <c r="H142" s="1">
        <v>1958035</v>
      </c>
      <c r="I142" s="1">
        <v>1468526</v>
      </c>
      <c r="J142" t="s">
        <v>15</v>
      </c>
      <c r="K142" s="1">
        <f>Tabla1[[#This Row],[cantidad]]*Tabla1[[#This Row],[precio_unitario]]</f>
        <v>1958035</v>
      </c>
      <c r="L142" s="1">
        <f>Tabla1[[#This Row],[cantidad]]*Tabla1[[#This Row],[costo_unitario]]</f>
        <v>1468526</v>
      </c>
      <c r="M142" s="1">
        <f>Tabla1[[#This Row],[venta_total]]-Tabla1[[#This Row],[costo_total]]</f>
        <v>489509</v>
      </c>
      <c r="N142" s="3">
        <f>Tabla1[[#This Row],[margen]]/Tabla1[[#This Row],[venta_total]]</f>
        <v>0.25000012767902513</v>
      </c>
    </row>
    <row r="143" spans="1:14" x14ac:dyDescent="0.25">
      <c r="A143" s="2">
        <v>45410</v>
      </c>
      <c r="B143" t="s">
        <v>32</v>
      </c>
      <c r="C143" t="s">
        <v>11</v>
      </c>
      <c r="D143" t="s">
        <v>23</v>
      </c>
      <c r="E143" t="s">
        <v>13</v>
      </c>
      <c r="F143" t="s">
        <v>28</v>
      </c>
      <c r="G143">
        <v>1</v>
      </c>
      <c r="H143" s="1">
        <v>2403370</v>
      </c>
      <c r="I143" s="1">
        <v>1922696</v>
      </c>
      <c r="J143" t="s">
        <v>15</v>
      </c>
      <c r="K143" s="1">
        <f>Tabla1[[#This Row],[cantidad]]*Tabla1[[#This Row],[precio_unitario]]</f>
        <v>2403370</v>
      </c>
      <c r="L143" s="1">
        <f>Tabla1[[#This Row],[cantidad]]*Tabla1[[#This Row],[costo_unitario]]</f>
        <v>1922696</v>
      </c>
      <c r="M143" s="1">
        <f>Tabla1[[#This Row],[venta_total]]-Tabla1[[#This Row],[costo_total]]</f>
        <v>480674</v>
      </c>
      <c r="N143" s="3">
        <f>Tabla1[[#This Row],[margen]]/Tabla1[[#This Row],[venta_total]]</f>
        <v>0.2</v>
      </c>
    </row>
    <row r="144" spans="1:14" x14ac:dyDescent="0.25">
      <c r="A144" s="2">
        <v>45412</v>
      </c>
      <c r="B144" t="s">
        <v>10</v>
      </c>
      <c r="C144" t="s">
        <v>11</v>
      </c>
      <c r="D144" t="s">
        <v>19</v>
      </c>
      <c r="E144" t="s">
        <v>13</v>
      </c>
      <c r="F144" t="s">
        <v>33</v>
      </c>
      <c r="G144">
        <v>1</v>
      </c>
      <c r="H144" s="1">
        <v>1799279</v>
      </c>
      <c r="I144" s="1">
        <v>1259495</v>
      </c>
      <c r="J144" t="s">
        <v>31</v>
      </c>
      <c r="K144" s="1">
        <f>Tabla1[[#This Row],[cantidad]]*Tabla1[[#This Row],[precio_unitario]]</f>
        <v>1799279</v>
      </c>
      <c r="L144" s="1">
        <f>Tabla1[[#This Row],[cantidad]]*Tabla1[[#This Row],[costo_unitario]]</f>
        <v>1259495</v>
      </c>
      <c r="M144" s="1">
        <f>Tabla1[[#This Row],[venta_total]]-Tabla1[[#This Row],[costo_total]]</f>
        <v>539784</v>
      </c>
      <c r="N144" s="3">
        <f>Tabla1[[#This Row],[margen]]/Tabla1[[#This Row],[venta_total]]</f>
        <v>0.3000001667334527</v>
      </c>
    </row>
    <row r="145" spans="1:14" x14ac:dyDescent="0.25">
      <c r="A145" s="2">
        <v>45418</v>
      </c>
      <c r="B145" t="s">
        <v>32</v>
      </c>
      <c r="C145" t="s">
        <v>11</v>
      </c>
      <c r="D145" t="s">
        <v>38</v>
      </c>
      <c r="E145" t="s">
        <v>20</v>
      </c>
      <c r="F145" t="s">
        <v>42</v>
      </c>
      <c r="G145">
        <v>1</v>
      </c>
      <c r="H145" s="1">
        <v>2315628</v>
      </c>
      <c r="I145" s="1">
        <v>1667252</v>
      </c>
      <c r="J145" t="s">
        <v>15</v>
      </c>
      <c r="K145" s="1">
        <f>Tabla1[[#This Row],[cantidad]]*Tabla1[[#This Row],[precio_unitario]]</f>
        <v>2315628</v>
      </c>
      <c r="L145" s="1">
        <f>Tabla1[[#This Row],[cantidad]]*Tabla1[[#This Row],[costo_unitario]]</f>
        <v>1667252</v>
      </c>
      <c r="M145" s="1">
        <f>Tabla1[[#This Row],[venta_total]]-Tabla1[[#This Row],[costo_total]]</f>
        <v>648376</v>
      </c>
      <c r="N145" s="3">
        <f>Tabla1[[#This Row],[margen]]/Tabla1[[#This Row],[venta_total]]</f>
        <v>0.28000006909572694</v>
      </c>
    </row>
    <row r="146" spans="1:14" x14ac:dyDescent="0.25">
      <c r="A146" s="2">
        <v>45394</v>
      </c>
      <c r="B146" t="s">
        <v>10</v>
      </c>
      <c r="C146" t="s">
        <v>11</v>
      </c>
      <c r="D146" t="s">
        <v>23</v>
      </c>
      <c r="E146" t="s">
        <v>13</v>
      </c>
      <c r="F146" t="s">
        <v>28</v>
      </c>
      <c r="G146">
        <v>1</v>
      </c>
      <c r="H146" s="1">
        <v>3231014</v>
      </c>
      <c r="I146" s="1">
        <v>2584811</v>
      </c>
      <c r="J146" t="s">
        <v>25</v>
      </c>
      <c r="K146" s="1">
        <f>Tabla1[[#This Row],[cantidad]]*Tabla1[[#This Row],[precio_unitario]]</f>
        <v>3231014</v>
      </c>
      <c r="L146" s="1">
        <f>Tabla1[[#This Row],[cantidad]]*Tabla1[[#This Row],[costo_unitario]]</f>
        <v>2584811</v>
      </c>
      <c r="M146" s="1">
        <f>Tabla1[[#This Row],[venta_total]]-Tabla1[[#This Row],[costo_total]]</f>
        <v>646203</v>
      </c>
      <c r="N146" s="3">
        <f>Tabla1[[#This Row],[margen]]/Tabla1[[#This Row],[venta_total]]</f>
        <v>0.20000006190007225</v>
      </c>
    </row>
    <row r="147" spans="1:14" x14ac:dyDescent="0.25">
      <c r="A147" s="2">
        <v>45424</v>
      </c>
      <c r="B147" t="s">
        <v>18</v>
      </c>
      <c r="C147" t="s">
        <v>11</v>
      </c>
      <c r="D147" t="s">
        <v>19</v>
      </c>
      <c r="E147" t="s">
        <v>20</v>
      </c>
      <c r="F147" t="s">
        <v>21</v>
      </c>
      <c r="G147">
        <v>1</v>
      </c>
      <c r="H147" s="1">
        <v>276199</v>
      </c>
      <c r="I147" s="1">
        <v>165719</v>
      </c>
      <c r="J147" t="s">
        <v>22</v>
      </c>
      <c r="K147" s="1">
        <f>Tabla1[[#This Row],[cantidad]]*Tabla1[[#This Row],[precio_unitario]]</f>
        <v>276199</v>
      </c>
      <c r="L147" s="1">
        <f>Tabla1[[#This Row],[cantidad]]*Tabla1[[#This Row],[costo_unitario]]</f>
        <v>165719</v>
      </c>
      <c r="M147" s="1">
        <f>Tabla1[[#This Row],[venta_total]]-Tabla1[[#This Row],[costo_total]]</f>
        <v>110480</v>
      </c>
      <c r="N147" s="3">
        <f>Tabla1[[#This Row],[margen]]/Tabla1[[#This Row],[venta_total]]</f>
        <v>0.40000144823116668</v>
      </c>
    </row>
    <row r="148" spans="1:14" x14ac:dyDescent="0.25">
      <c r="A148" s="2">
        <v>45330</v>
      </c>
      <c r="B148" t="s">
        <v>34</v>
      </c>
      <c r="C148" t="s">
        <v>11</v>
      </c>
      <c r="D148" t="s">
        <v>19</v>
      </c>
      <c r="E148" t="s">
        <v>13</v>
      </c>
      <c r="F148" t="s">
        <v>33</v>
      </c>
      <c r="G148">
        <v>3</v>
      </c>
      <c r="H148" s="1">
        <v>1990600</v>
      </c>
      <c r="I148" s="1">
        <v>1393420</v>
      </c>
      <c r="J148" t="s">
        <v>25</v>
      </c>
      <c r="K148" s="1">
        <f>Tabla1[[#This Row],[cantidad]]*Tabla1[[#This Row],[precio_unitario]]</f>
        <v>5971800</v>
      </c>
      <c r="L148" s="1">
        <f>Tabla1[[#This Row],[cantidad]]*Tabla1[[#This Row],[costo_unitario]]</f>
        <v>4180260</v>
      </c>
      <c r="M148" s="1">
        <f>Tabla1[[#This Row],[venta_total]]-Tabla1[[#This Row],[costo_total]]</f>
        <v>1791540</v>
      </c>
      <c r="N148" s="3">
        <f>Tabla1[[#This Row],[margen]]/Tabla1[[#This Row],[venta_total]]</f>
        <v>0.3</v>
      </c>
    </row>
    <row r="149" spans="1:14" x14ac:dyDescent="0.25">
      <c r="A149" s="2">
        <v>45436</v>
      </c>
      <c r="B149" t="s">
        <v>18</v>
      </c>
      <c r="C149" t="s">
        <v>11</v>
      </c>
      <c r="D149" t="s">
        <v>19</v>
      </c>
      <c r="E149" t="s">
        <v>16</v>
      </c>
      <c r="F149" t="s">
        <v>35</v>
      </c>
      <c r="G149">
        <v>2</v>
      </c>
      <c r="H149" s="1">
        <v>833128</v>
      </c>
      <c r="I149" s="1">
        <v>541533</v>
      </c>
      <c r="J149" t="s">
        <v>25</v>
      </c>
      <c r="K149" s="1">
        <f>Tabla1[[#This Row],[cantidad]]*Tabla1[[#This Row],[precio_unitario]]</f>
        <v>1666256</v>
      </c>
      <c r="L149" s="1">
        <f>Tabla1[[#This Row],[cantidad]]*Tabla1[[#This Row],[costo_unitario]]</f>
        <v>1083066</v>
      </c>
      <c r="M149" s="1">
        <f>Tabla1[[#This Row],[venta_total]]-Tabla1[[#This Row],[costo_total]]</f>
        <v>583190</v>
      </c>
      <c r="N149" s="3">
        <f>Tabla1[[#This Row],[margen]]/Tabla1[[#This Row],[venta_total]]</f>
        <v>0.35000024005915059</v>
      </c>
    </row>
    <row r="150" spans="1:14" x14ac:dyDescent="0.25">
      <c r="A150" s="2">
        <v>45458</v>
      </c>
      <c r="B150" t="s">
        <v>10</v>
      </c>
      <c r="C150" t="s">
        <v>11</v>
      </c>
      <c r="D150" t="s">
        <v>38</v>
      </c>
      <c r="E150" t="s">
        <v>16</v>
      </c>
      <c r="F150" t="s">
        <v>39</v>
      </c>
      <c r="G150">
        <v>1</v>
      </c>
      <c r="H150" s="1">
        <v>4852881</v>
      </c>
      <c r="I150" s="1">
        <v>3639660</v>
      </c>
      <c r="J150" t="s">
        <v>31</v>
      </c>
      <c r="K150" s="1">
        <f>Tabla1[[#This Row],[cantidad]]*Tabla1[[#This Row],[precio_unitario]]</f>
        <v>4852881</v>
      </c>
      <c r="L150" s="1">
        <f>Tabla1[[#This Row],[cantidad]]*Tabla1[[#This Row],[costo_unitario]]</f>
        <v>3639660</v>
      </c>
      <c r="M150" s="1">
        <f>Tabla1[[#This Row],[venta_total]]-Tabla1[[#This Row],[costo_total]]</f>
        <v>1213221</v>
      </c>
      <c r="N150" s="3">
        <f>Tabla1[[#This Row],[margen]]/Tabla1[[#This Row],[venta_total]]</f>
        <v>0.25000015454737096</v>
      </c>
    </row>
    <row r="151" spans="1:14" x14ac:dyDescent="0.25">
      <c r="A151" s="2">
        <v>45447</v>
      </c>
      <c r="B151" t="s">
        <v>10</v>
      </c>
      <c r="C151" t="s">
        <v>11</v>
      </c>
      <c r="D151" t="s">
        <v>26</v>
      </c>
      <c r="E151" t="s">
        <v>16</v>
      </c>
      <c r="F151" t="s">
        <v>40</v>
      </c>
      <c r="G151">
        <v>1</v>
      </c>
      <c r="H151" s="1">
        <v>4846818</v>
      </c>
      <c r="I151" s="1">
        <v>3780518</v>
      </c>
      <c r="J151" t="s">
        <v>15</v>
      </c>
      <c r="K151" s="1">
        <f>Tabla1[[#This Row],[cantidad]]*Tabla1[[#This Row],[precio_unitario]]</f>
        <v>4846818</v>
      </c>
      <c r="L151" s="1">
        <f>Tabla1[[#This Row],[cantidad]]*Tabla1[[#This Row],[costo_unitario]]</f>
        <v>3780518</v>
      </c>
      <c r="M151" s="1">
        <f>Tabla1[[#This Row],[venta_total]]-Tabla1[[#This Row],[costo_total]]</f>
        <v>1066300</v>
      </c>
      <c r="N151" s="3">
        <f>Tabla1[[#This Row],[margen]]/Tabla1[[#This Row],[venta_total]]</f>
        <v>0.22000000825283722</v>
      </c>
    </row>
    <row r="152" spans="1:14" x14ac:dyDescent="0.25">
      <c r="A152" s="2">
        <v>45448</v>
      </c>
      <c r="B152" t="s">
        <v>10</v>
      </c>
      <c r="C152" t="s">
        <v>11</v>
      </c>
      <c r="D152" t="s">
        <v>38</v>
      </c>
      <c r="E152" t="s">
        <v>20</v>
      </c>
      <c r="F152" t="s">
        <v>42</v>
      </c>
      <c r="G152">
        <v>1</v>
      </c>
      <c r="H152" s="1">
        <v>2582139</v>
      </c>
      <c r="I152" s="1">
        <v>1859140</v>
      </c>
      <c r="J152" t="s">
        <v>15</v>
      </c>
      <c r="K152" s="1">
        <f>Tabla1[[#This Row],[cantidad]]*Tabla1[[#This Row],[precio_unitario]]</f>
        <v>2582139</v>
      </c>
      <c r="L152" s="1">
        <f>Tabla1[[#This Row],[cantidad]]*Tabla1[[#This Row],[costo_unitario]]</f>
        <v>1859140</v>
      </c>
      <c r="M152" s="1">
        <f>Tabla1[[#This Row],[venta_total]]-Tabla1[[#This Row],[costo_total]]</f>
        <v>722999</v>
      </c>
      <c r="N152" s="3">
        <f>Tabla1[[#This Row],[margen]]/Tabla1[[#This Row],[venta_total]]</f>
        <v>0.28000003098206566</v>
      </c>
    </row>
    <row r="153" spans="1:14" x14ac:dyDescent="0.25">
      <c r="A153" s="2">
        <v>45393</v>
      </c>
      <c r="B153" t="s">
        <v>34</v>
      </c>
      <c r="C153" t="s">
        <v>11</v>
      </c>
      <c r="D153" t="s">
        <v>38</v>
      </c>
      <c r="E153" t="s">
        <v>20</v>
      </c>
      <c r="F153" t="s">
        <v>42</v>
      </c>
      <c r="G153">
        <v>1</v>
      </c>
      <c r="H153" s="1">
        <v>2088708</v>
      </c>
      <c r="I153" s="1">
        <v>1503869</v>
      </c>
      <c r="J153" t="s">
        <v>22</v>
      </c>
      <c r="K153" s="1">
        <f>Tabla1[[#This Row],[cantidad]]*Tabla1[[#This Row],[precio_unitario]]</f>
        <v>2088708</v>
      </c>
      <c r="L153" s="1">
        <f>Tabla1[[#This Row],[cantidad]]*Tabla1[[#This Row],[costo_unitario]]</f>
        <v>1503869</v>
      </c>
      <c r="M153" s="1">
        <f>Tabla1[[#This Row],[venta_total]]-Tabla1[[#This Row],[costo_total]]</f>
        <v>584839</v>
      </c>
      <c r="N153" s="3">
        <f>Tabla1[[#This Row],[margen]]/Tabla1[[#This Row],[venta_total]]</f>
        <v>0.28000036386129606</v>
      </c>
    </row>
    <row r="154" spans="1:14" x14ac:dyDescent="0.25">
      <c r="A154" s="2">
        <v>45365</v>
      </c>
      <c r="B154" t="s">
        <v>32</v>
      </c>
      <c r="C154" t="s">
        <v>11</v>
      </c>
      <c r="D154" t="s">
        <v>12</v>
      </c>
      <c r="E154" t="s">
        <v>13</v>
      </c>
      <c r="F154" t="s">
        <v>14</v>
      </c>
      <c r="G154">
        <v>1</v>
      </c>
      <c r="H154" s="1">
        <v>4800893</v>
      </c>
      <c r="I154" s="1">
        <v>3840714</v>
      </c>
      <c r="J154" t="s">
        <v>22</v>
      </c>
      <c r="K154" s="1">
        <f>Tabla1[[#This Row],[cantidad]]*Tabla1[[#This Row],[precio_unitario]]</f>
        <v>4800893</v>
      </c>
      <c r="L154" s="1">
        <f>Tabla1[[#This Row],[cantidad]]*Tabla1[[#This Row],[costo_unitario]]</f>
        <v>3840714</v>
      </c>
      <c r="M154" s="1">
        <f>Tabla1[[#This Row],[venta_total]]-Tabla1[[#This Row],[costo_total]]</f>
        <v>960179</v>
      </c>
      <c r="N154" s="3">
        <f>Tabla1[[#This Row],[margen]]/Tabla1[[#This Row],[venta_total]]</f>
        <v>0.20000008331783276</v>
      </c>
    </row>
    <row r="155" spans="1:14" x14ac:dyDescent="0.25">
      <c r="A155" s="2">
        <v>45430</v>
      </c>
      <c r="B155" t="s">
        <v>18</v>
      </c>
      <c r="C155" t="s">
        <v>11</v>
      </c>
      <c r="D155" t="s">
        <v>38</v>
      </c>
      <c r="E155" t="s">
        <v>13</v>
      </c>
      <c r="F155" t="s">
        <v>41</v>
      </c>
      <c r="G155">
        <v>1</v>
      </c>
      <c r="H155" s="1">
        <v>7000833</v>
      </c>
      <c r="I155" s="1">
        <v>5600666</v>
      </c>
      <c r="J155" t="s">
        <v>31</v>
      </c>
      <c r="K155" s="1">
        <f>Tabla1[[#This Row],[cantidad]]*Tabla1[[#This Row],[precio_unitario]]</f>
        <v>7000833</v>
      </c>
      <c r="L155" s="1">
        <f>Tabla1[[#This Row],[cantidad]]*Tabla1[[#This Row],[costo_unitario]]</f>
        <v>5600666</v>
      </c>
      <c r="M155" s="1">
        <f>Tabla1[[#This Row],[venta_total]]-Tabla1[[#This Row],[costo_total]]</f>
        <v>1400167</v>
      </c>
      <c r="N155" s="3">
        <f>Tabla1[[#This Row],[margen]]/Tabla1[[#This Row],[venta_total]]</f>
        <v>0.20000005713605795</v>
      </c>
    </row>
    <row r="156" spans="1:14" x14ac:dyDescent="0.25">
      <c r="A156" s="2">
        <v>45350</v>
      </c>
      <c r="B156" t="s">
        <v>34</v>
      </c>
      <c r="C156" t="s">
        <v>11</v>
      </c>
      <c r="D156" t="s">
        <v>19</v>
      </c>
      <c r="E156" t="s">
        <v>16</v>
      </c>
      <c r="F156" t="s">
        <v>35</v>
      </c>
      <c r="G156">
        <v>2</v>
      </c>
      <c r="H156" s="1">
        <v>749508</v>
      </c>
      <c r="I156" s="1">
        <v>487180</v>
      </c>
      <c r="J156" t="s">
        <v>29</v>
      </c>
      <c r="K156" s="1">
        <f>Tabla1[[#This Row],[cantidad]]*Tabla1[[#This Row],[precio_unitario]]</f>
        <v>1499016</v>
      </c>
      <c r="L156" s="1">
        <f>Tabla1[[#This Row],[cantidad]]*Tabla1[[#This Row],[costo_unitario]]</f>
        <v>974360</v>
      </c>
      <c r="M156" s="1">
        <f>Tabla1[[#This Row],[venta_total]]-Tabla1[[#This Row],[costo_total]]</f>
        <v>524656</v>
      </c>
      <c r="N156" s="3">
        <f>Tabla1[[#This Row],[margen]]/Tabla1[[#This Row],[venta_total]]</f>
        <v>0.35000026684171481</v>
      </c>
    </row>
    <row r="157" spans="1:14" x14ac:dyDescent="0.25">
      <c r="A157" s="2">
        <v>45374</v>
      </c>
      <c r="B157" t="s">
        <v>18</v>
      </c>
      <c r="C157" t="s">
        <v>11</v>
      </c>
      <c r="D157" t="s">
        <v>19</v>
      </c>
      <c r="E157" t="s">
        <v>20</v>
      </c>
      <c r="F157" t="s">
        <v>21</v>
      </c>
      <c r="G157">
        <v>3</v>
      </c>
      <c r="H157" s="1">
        <v>349661</v>
      </c>
      <c r="I157" s="1">
        <v>209796</v>
      </c>
      <c r="J157" t="s">
        <v>15</v>
      </c>
      <c r="K157" s="1">
        <f>Tabla1[[#This Row],[cantidad]]*Tabla1[[#This Row],[precio_unitario]]</f>
        <v>1048983</v>
      </c>
      <c r="L157" s="1">
        <f>Tabla1[[#This Row],[cantidad]]*Tabla1[[#This Row],[costo_unitario]]</f>
        <v>629388</v>
      </c>
      <c r="M157" s="1">
        <f>Tabla1[[#This Row],[venta_total]]-Tabla1[[#This Row],[costo_total]]</f>
        <v>419595</v>
      </c>
      <c r="N157" s="3">
        <f>Tabla1[[#This Row],[margen]]/Tabla1[[#This Row],[venta_total]]</f>
        <v>0.40000171594773221</v>
      </c>
    </row>
    <row r="158" spans="1:14" x14ac:dyDescent="0.25">
      <c r="A158" s="2">
        <v>45390</v>
      </c>
      <c r="B158" t="s">
        <v>10</v>
      </c>
      <c r="C158" t="s">
        <v>11</v>
      </c>
      <c r="D158" t="s">
        <v>12</v>
      </c>
      <c r="E158" t="s">
        <v>20</v>
      </c>
      <c r="F158" t="s">
        <v>37</v>
      </c>
      <c r="G158">
        <v>1</v>
      </c>
      <c r="H158" s="1">
        <v>2547165</v>
      </c>
      <c r="I158" s="1">
        <v>1910373</v>
      </c>
      <c r="J158" t="s">
        <v>15</v>
      </c>
      <c r="K158" s="1">
        <f>Tabla1[[#This Row],[cantidad]]*Tabla1[[#This Row],[precio_unitario]]</f>
        <v>2547165</v>
      </c>
      <c r="L158" s="1">
        <f>Tabla1[[#This Row],[cantidad]]*Tabla1[[#This Row],[costo_unitario]]</f>
        <v>1910373</v>
      </c>
      <c r="M158" s="1">
        <f>Tabla1[[#This Row],[venta_total]]-Tabla1[[#This Row],[costo_total]]</f>
        <v>636792</v>
      </c>
      <c r="N158" s="3">
        <f>Tabla1[[#This Row],[margen]]/Tabla1[[#This Row],[venta_total]]</f>
        <v>0.2500002944450006</v>
      </c>
    </row>
    <row r="159" spans="1:14" x14ac:dyDescent="0.25">
      <c r="A159" s="2">
        <v>45307</v>
      </c>
      <c r="B159" t="s">
        <v>18</v>
      </c>
      <c r="C159" t="s">
        <v>11</v>
      </c>
      <c r="D159" t="s">
        <v>23</v>
      </c>
      <c r="E159" t="s">
        <v>20</v>
      </c>
      <c r="F159" t="s">
        <v>30</v>
      </c>
      <c r="G159">
        <v>1</v>
      </c>
      <c r="H159" s="1">
        <v>968352</v>
      </c>
      <c r="I159" s="1">
        <v>677846</v>
      </c>
      <c r="J159" t="s">
        <v>31</v>
      </c>
      <c r="K159" s="1">
        <f>Tabla1[[#This Row],[cantidad]]*Tabla1[[#This Row],[precio_unitario]]</f>
        <v>968352</v>
      </c>
      <c r="L159" s="1">
        <f>Tabla1[[#This Row],[cantidad]]*Tabla1[[#This Row],[costo_unitario]]</f>
        <v>677846</v>
      </c>
      <c r="M159" s="1">
        <f>Tabla1[[#This Row],[venta_total]]-Tabla1[[#This Row],[costo_total]]</f>
        <v>290506</v>
      </c>
      <c r="N159" s="3">
        <f>Tabla1[[#This Row],[margen]]/Tabla1[[#This Row],[venta_total]]</f>
        <v>0.30000041307293218</v>
      </c>
    </row>
    <row r="160" spans="1:14" x14ac:dyDescent="0.25">
      <c r="A160" s="2">
        <v>45463</v>
      </c>
      <c r="B160" t="s">
        <v>10</v>
      </c>
      <c r="C160" t="s">
        <v>11</v>
      </c>
      <c r="D160" t="s">
        <v>19</v>
      </c>
      <c r="E160" t="s">
        <v>20</v>
      </c>
      <c r="F160" t="s">
        <v>21</v>
      </c>
      <c r="G160">
        <v>3</v>
      </c>
      <c r="H160" s="1">
        <v>330146</v>
      </c>
      <c r="I160" s="1">
        <v>198087</v>
      </c>
      <c r="J160" t="s">
        <v>31</v>
      </c>
      <c r="K160" s="1">
        <f>Tabla1[[#This Row],[cantidad]]*Tabla1[[#This Row],[precio_unitario]]</f>
        <v>990438</v>
      </c>
      <c r="L160" s="1">
        <f>Tabla1[[#This Row],[cantidad]]*Tabla1[[#This Row],[costo_unitario]]</f>
        <v>594261</v>
      </c>
      <c r="M160" s="1">
        <f>Tabla1[[#This Row],[venta_total]]-Tabla1[[#This Row],[costo_total]]</f>
        <v>396177</v>
      </c>
      <c r="N160" s="3">
        <f>Tabla1[[#This Row],[margen]]/Tabla1[[#This Row],[venta_total]]</f>
        <v>0.40000181737776619</v>
      </c>
    </row>
    <row r="161" spans="1:14" x14ac:dyDescent="0.25">
      <c r="A161" s="2">
        <v>45411</v>
      </c>
      <c r="B161" t="s">
        <v>34</v>
      </c>
      <c r="C161" t="s">
        <v>11</v>
      </c>
      <c r="D161" t="s">
        <v>23</v>
      </c>
      <c r="E161" t="s">
        <v>20</v>
      </c>
      <c r="F161" t="s">
        <v>30</v>
      </c>
      <c r="G161">
        <v>1</v>
      </c>
      <c r="H161" s="1">
        <v>815602</v>
      </c>
      <c r="I161" s="1">
        <v>570921</v>
      </c>
      <c r="J161" t="s">
        <v>31</v>
      </c>
      <c r="K161" s="1">
        <f>Tabla1[[#This Row],[cantidad]]*Tabla1[[#This Row],[precio_unitario]]</f>
        <v>815602</v>
      </c>
      <c r="L161" s="1">
        <f>Tabla1[[#This Row],[cantidad]]*Tabla1[[#This Row],[costo_unitario]]</f>
        <v>570921</v>
      </c>
      <c r="M161" s="1">
        <f>Tabla1[[#This Row],[venta_total]]-Tabla1[[#This Row],[costo_total]]</f>
        <v>244681</v>
      </c>
      <c r="N161" s="3">
        <f>Tabla1[[#This Row],[margen]]/Tabla1[[#This Row],[venta_total]]</f>
        <v>0.30000049043528582</v>
      </c>
    </row>
    <row r="162" spans="1:14" x14ac:dyDescent="0.25">
      <c r="A162" s="2">
        <v>45302</v>
      </c>
      <c r="B162" t="s">
        <v>18</v>
      </c>
      <c r="C162" t="s">
        <v>11</v>
      </c>
      <c r="D162" t="s">
        <v>26</v>
      </c>
      <c r="E162" t="s">
        <v>13</v>
      </c>
      <c r="F162" t="s">
        <v>27</v>
      </c>
      <c r="G162">
        <v>1</v>
      </c>
      <c r="H162" s="1">
        <v>5443902</v>
      </c>
      <c r="I162" s="1">
        <v>4355121</v>
      </c>
      <c r="J162" t="s">
        <v>31</v>
      </c>
      <c r="K162" s="1">
        <f>Tabla1[[#This Row],[cantidad]]*Tabla1[[#This Row],[precio_unitario]]</f>
        <v>5443902</v>
      </c>
      <c r="L162" s="1">
        <f>Tabla1[[#This Row],[cantidad]]*Tabla1[[#This Row],[costo_unitario]]</f>
        <v>4355121</v>
      </c>
      <c r="M162" s="1">
        <f>Tabla1[[#This Row],[venta_total]]-Tabla1[[#This Row],[costo_total]]</f>
        <v>1088781</v>
      </c>
      <c r="N162" s="3">
        <f>Tabla1[[#This Row],[margen]]/Tabla1[[#This Row],[venta_total]]</f>
        <v>0.20000011021506264</v>
      </c>
    </row>
    <row r="163" spans="1:14" x14ac:dyDescent="0.25">
      <c r="A163" s="2">
        <v>45394</v>
      </c>
      <c r="B163" t="s">
        <v>18</v>
      </c>
      <c r="C163" t="s">
        <v>11</v>
      </c>
      <c r="D163" t="s">
        <v>23</v>
      </c>
      <c r="E163" t="s">
        <v>16</v>
      </c>
      <c r="F163" t="s">
        <v>24</v>
      </c>
      <c r="G163">
        <v>1</v>
      </c>
      <c r="H163" s="1">
        <v>1557801</v>
      </c>
      <c r="I163" s="1">
        <v>1168350</v>
      </c>
      <c r="J163" t="s">
        <v>22</v>
      </c>
      <c r="K163" s="1">
        <f>Tabla1[[#This Row],[cantidad]]*Tabla1[[#This Row],[precio_unitario]]</f>
        <v>1557801</v>
      </c>
      <c r="L163" s="1">
        <f>Tabla1[[#This Row],[cantidad]]*Tabla1[[#This Row],[costo_unitario]]</f>
        <v>1168350</v>
      </c>
      <c r="M163" s="1">
        <f>Tabla1[[#This Row],[venta_total]]-Tabla1[[#This Row],[costo_total]]</f>
        <v>389451</v>
      </c>
      <c r="N163" s="3">
        <f>Tabla1[[#This Row],[margen]]/Tabla1[[#This Row],[venta_total]]</f>
        <v>0.25000048144788711</v>
      </c>
    </row>
    <row r="164" spans="1:14" x14ac:dyDescent="0.25">
      <c r="A164" s="2">
        <v>45441</v>
      </c>
      <c r="B164" t="s">
        <v>34</v>
      </c>
      <c r="C164" t="s">
        <v>11</v>
      </c>
      <c r="D164" t="s">
        <v>12</v>
      </c>
      <c r="E164" t="s">
        <v>16</v>
      </c>
      <c r="F164" t="s">
        <v>17</v>
      </c>
      <c r="G164">
        <v>1</v>
      </c>
      <c r="H164" s="1">
        <v>3877794</v>
      </c>
      <c r="I164" s="1">
        <v>3024679</v>
      </c>
      <c r="J164" t="s">
        <v>29</v>
      </c>
      <c r="K164" s="1">
        <f>Tabla1[[#This Row],[cantidad]]*Tabla1[[#This Row],[precio_unitario]]</f>
        <v>3877794</v>
      </c>
      <c r="L164" s="1">
        <f>Tabla1[[#This Row],[cantidad]]*Tabla1[[#This Row],[costo_unitario]]</f>
        <v>3024679</v>
      </c>
      <c r="M164" s="1">
        <f>Tabla1[[#This Row],[venta_total]]-Tabla1[[#This Row],[costo_total]]</f>
        <v>853115</v>
      </c>
      <c r="N164" s="3">
        <f>Tabla1[[#This Row],[margen]]/Tabla1[[#This Row],[venta_total]]</f>
        <v>0.22000008252114475</v>
      </c>
    </row>
    <row r="165" spans="1:14" x14ac:dyDescent="0.25">
      <c r="A165" s="2">
        <v>45390</v>
      </c>
      <c r="B165" t="s">
        <v>18</v>
      </c>
      <c r="C165" t="s">
        <v>11</v>
      </c>
      <c r="D165" t="s">
        <v>26</v>
      </c>
      <c r="E165" t="s">
        <v>13</v>
      </c>
      <c r="F165" t="s">
        <v>27</v>
      </c>
      <c r="G165">
        <v>1</v>
      </c>
      <c r="H165" s="1">
        <v>8119783</v>
      </c>
      <c r="I165" s="1">
        <v>6495826</v>
      </c>
      <c r="J165" t="s">
        <v>15</v>
      </c>
      <c r="K165" s="1">
        <f>Tabla1[[#This Row],[cantidad]]*Tabla1[[#This Row],[precio_unitario]]</f>
        <v>8119783</v>
      </c>
      <c r="L165" s="1">
        <f>Tabla1[[#This Row],[cantidad]]*Tabla1[[#This Row],[costo_unitario]]</f>
        <v>6495826</v>
      </c>
      <c r="M165" s="1">
        <f>Tabla1[[#This Row],[venta_total]]-Tabla1[[#This Row],[costo_total]]</f>
        <v>1623957</v>
      </c>
      <c r="N165" s="3">
        <f>Tabla1[[#This Row],[margen]]/Tabla1[[#This Row],[venta_total]]</f>
        <v>0.20000004926240023</v>
      </c>
    </row>
    <row r="166" spans="1:14" x14ac:dyDescent="0.25">
      <c r="A166" s="2">
        <v>45388</v>
      </c>
      <c r="B166" t="s">
        <v>10</v>
      </c>
      <c r="C166" t="s">
        <v>11</v>
      </c>
      <c r="D166" t="s">
        <v>23</v>
      </c>
      <c r="E166" t="s">
        <v>13</v>
      </c>
      <c r="F166" t="s">
        <v>28</v>
      </c>
      <c r="G166">
        <v>1</v>
      </c>
      <c r="H166" s="1">
        <v>2942196</v>
      </c>
      <c r="I166" s="1">
        <v>2353756</v>
      </c>
      <c r="J166" t="s">
        <v>15</v>
      </c>
      <c r="K166" s="1">
        <f>Tabla1[[#This Row],[cantidad]]*Tabla1[[#This Row],[precio_unitario]]</f>
        <v>2942196</v>
      </c>
      <c r="L166" s="1">
        <f>Tabla1[[#This Row],[cantidad]]*Tabla1[[#This Row],[costo_unitario]]</f>
        <v>2353756</v>
      </c>
      <c r="M166" s="1">
        <f>Tabla1[[#This Row],[venta_total]]-Tabla1[[#This Row],[costo_total]]</f>
        <v>588440</v>
      </c>
      <c r="N166" s="3">
        <f>Tabla1[[#This Row],[margen]]/Tabla1[[#This Row],[venta_total]]</f>
        <v>0.2000002719057466</v>
      </c>
    </row>
    <row r="167" spans="1:14" x14ac:dyDescent="0.25">
      <c r="A167" s="2">
        <v>45448</v>
      </c>
      <c r="B167" t="s">
        <v>34</v>
      </c>
      <c r="C167" t="s">
        <v>11</v>
      </c>
      <c r="D167" t="s">
        <v>26</v>
      </c>
      <c r="E167" t="s">
        <v>20</v>
      </c>
      <c r="F167" t="s">
        <v>36</v>
      </c>
      <c r="G167">
        <v>1</v>
      </c>
      <c r="H167" s="1">
        <v>2532924</v>
      </c>
      <c r="I167" s="1">
        <v>1899693</v>
      </c>
      <c r="J167" t="s">
        <v>15</v>
      </c>
      <c r="K167" s="1">
        <f>Tabla1[[#This Row],[cantidad]]*Tabla1[[#This Row],[precio_unitario]]</f>
        <v>2532924</v>
      </c>
      <c r="L167" s="1">
        <f>Tabla1[[#This Row],[cantidad]]*Tabla1[[#This Row],[costo_unitario]]</f>
        <v>1899693</v>
      </c>
      <c r="M167" s="1">
        <f>Tabla1[[#This Row],[venta_total]]-Tabla1[[#This Row],[costo_total]]</f>
        <v>633231</v>
      </c>
      <c r="N167" s="3">
        <f>Tabla1[[#This Row],[margen]]/Tabla1[[#This Row],[venta_total]]</f>
        <v>0.25</v>
      </c>
    </row>
    <row r="168" spans="1:14" x14ac:dyDescent="0.25">
      <c r="A168" s="2">
        <v>45456</v>
      </c>
      <c r="B168" t="s">
        <v>10</v>
      </c>
      <c r="C168" t="s">
        <v>11</v>
      </c>
      <c r="D168" t="s">
        <v>19</v>
      </c>
      <c r="E168" t="s">
        <v>20</v>
      </c>
      <c r="F168" t="s">
        <v>21</v>
      </c>
      <c r="G168">
        <v>2</v>
      </c>
      <c r="H168" s="1">
        <v>457257</v>
      </c>
      <c r="I168" s="1">
        <v>274354</v>
      </c>
      <c r="J168" t="s">
        <v>25</v>
      </c>
      <c r="K168" s="1">
        <f>Tabla1[[#This Row],[cantidad]]*Tabla1[[#This Row],[precio_unitario]]</f>
        <v>914514</v>
      </c>
      <c r="L168" s="1">
        <f>Tabla1[[#This Row],[cantidad]]*Tabla1[[#This Row],[costo_unitario]]</f>
        <v>548708</v>
      </c>
      <c r="M168" s="1">
        <f>Tabla1[[#This Row],[venta_total]]-Tabla1[[#This Row],[costo_total]]</f>
        <v>365806</v>
      </c>
      <c r="N168" s="3">
        <f>Tabla1[[#This Row],[margen]]/Tabla1[[#This Row],[venta_total]]</f>
        <v>0.400000437390789</v>
      </c>
    </row>
    <row r="169" spans="1:14" x14ac:dyDescent="0.25">
      <c r="A169" s="2">
        <v>45447</v>
      </c>
      <c r="B169" t="s">
        <v>34</v>
      </c>
      <c r="C169" t="s">
        <v>11</v>
      </c>
      <c r="D169" t="s">
        <v>26</v>
      </c>
      <c r="E169" t="s">
        <v>20</v>
      </c>
      <c r="F169" t="s">
        <v>36</v>
      </c>
      <c r="G169">
        <v>1</v>
      </c>
      <c r="H169" s="1">
        <v>2276346</v>
      </c>
      <c r="I169" s="1">
        <v>1707259</v>
      </c>
      <c r="J169" t="s">
        <v>15</v>
      </c>
      <c r="K169" s="1">
        <f>Tabla1[[#This Row],[cantidad]]*Tabla1[[#This Row],[precio_unitario]]</f>
        <v>2276346</v>
      </c>
      <c r="L169" s="1">
        <f>Tabla1[[#This Row],[cantidad]]*Tabla1[[#This Row],[costo_unitario]]</f>
        <v>1707259</v>
      </c>
      <c r="M169" s="1">
        <f>Tabla1[[#This Row],[venta_total]]-Tabla1[[#This Row],[costo_total]]</f>
        <v>569087</v>
      </c>
      <c r="N169" s="3">
        <f>Tabla1[[#This Row],[margen]]/Tabla1[[#This Row],[venta_total]]</f>
        <v>0.25000021965026409</v>
      </c>
    </row>
    <row r="170" spans="1:14" x14ac:dyDescent="0.25">
      <c r="A170" s="2">
        <v>45398</v>
      </c>
      <c r="B170" t="s">
        <v>34</v>
      </c>
      <c r="C170" t="s">
        <v>11</v>
      </c>
      <c r="D170" t="s">
        <v>19</v>
      </c>
      <c r="E170" t="s">
        <v>13</v>
      </c>
      <c r="F170" t="s">
        <v>33</v>
      </c>
      <c r="G170">
        <v>1</v>
      </c>
      <c r="H170" s="1">
        <v>1815692</v>
      </c>
      <c r="I170" s="1">
        <v>1270984</v>
      </c>
      <c r="J170" t="s">
        <v>15</v>
      </c>
      <c r="K170" s="1">
        <f>Tabla1[[#This Row],[cantidad]]*Tabla1[[#This Row],[precio_unitario]]</f>
        <v>1815692</v>
      </c>
      <c r="L170" s="1">
        <f>Tabla1[[#This Row],[cantidad]]*Tabla1[[#This Row],[costo_unitario]]</f>
        <v>1270984</v>
      </c>
      <c r="M170" s="1">
        <f>Tabla1[[#This Row],[venta_total]]-Tabla1[[#This Row],[costo_total]]</f>
        <v>544708</v>
      </c>
      <c r="N170" s="3">
        <f>Tabla1[[#This Row],[margen]]/Tabla1[[#This Row],[venta_total]]</f>
        <v>0.30000022030168111</v>
      </c>
    </row>
    <row r="171" spans="1:14" x14ac:dyDescent="0.25">
      <c r="A171" s="2">
        <v>45451</v>
      </c>
      <c r="B171" t="s">
        <v>34</v>
      </c>
      <c r="C171" t="s">
        <v>11</v>
      </c>
      <c r="D171" t="s">
        <v>38</v>
      </c>
      <c r="E171" t="s">
        <v>20</v>
      </c>
      <c r="F171" t="s">
        <v>42</v>
      </c>
      <c r="G171">
        <v>1</v>
      </c>
      <c r="H171" s="1">
        <v>2433558</v>
      </c>
      <c r="I171" s="1">
        <v>1752161</v>
      </c>
      <c r="J171" t="s">
        <v>31</v>
      </c>
      <c r="K171" s="1">
        <f>Tabla1[[#This Row],[cantidad]]*Tabla1[[#This Row],[precio_unitario]]</f>
        <v>2433558</v>
      </c>
      <c r="L171" s="1">
        <f>Tabla1[[#This Row],[cantidad]]*Tabla1[[#This Row],[costo_unitario]]</f>
        <v>1752161</v>
      </c>
      <c r="M171" s="1">
        <f>Tabla1[[#This Row],[venta_total]]-Tabla1[[#This Row],[costo_total]]</f>
        <v>681397</v>
      </c>
      <c r="N171" s="3">
        <f>Tabla1[[#This Row],[margen]]/Tabla1[[#This Row],[venta_total]]</f>
        <v>0.28000031229993283</v>
      </c>
    </row>
    <row r="172" spans="1:14" x14ac:dyDescent="0.25">
      <c r="A172" s="2">
        <v>45469</v>
      </c>
      <c r="B172" t="s">
        <v>32</v>
      </c>
      <c r="C172" t="s">
        <v>11</v>
      </c>
      <c r="D172" t="s">
        <v>19</v>
      </c>
      <c r="E172" t="s">
        <v>16</v>
      </c>
      <c r="F172" t="s">
        <v>35</v>
      </c>
      <c r="G172">
        <v>1</v>
      </c>
      <c r="H172" s="1">
        <v>802380</v>
      </c>
      <c r="I172" s="1">
        <v>521547</v>
      </c>
      <c r="J172" t="s">
        <v>22</v>
      </c>
      <c r="K172" s="1">
        <f>Tabla1[[#This Row],[cantidad]]*Tabla1[[#This Row],[precio_unitario]]</f>
        <v>802380</v>
      </c>
      <c r="L172" s="1">
        <f>Tabla1[[#This Row],[cantidad]]*Tabla1[[#This Row],[costo_unitario]]</f>
        <v>521547</v>
      </c>
      <c r="M172" s="1">
        <f>Tabla1[[#This Row],[venta_total]]-Tabla1[[#This Row],[costo_total]]</f>
        <v>280833</v>
      </c>
      <c r="N172" s="3">
        <f>Tabla1[[#This Row],[margen]]/Tabla1[[#This Row],[venta_total]]</f>
        <v>0.35</v>
      </c>
    </row>
    <row r="173" spans="1:14" x14ac:dyDescent="0.25">
      <c r="A173" s="2">
        <v>45402</v>
      </c>
      <c r="B173" t="s">
        <v>10</v>
      </c>
      <c r="C173" t="s">
        <v>11</v>
      </c>
      <c r="D173" t="s">
        <v>23</v>
      </c>
      <c r="E173" t="s">
        <v>20</v>
      </c>
      <c r="F173" t="s">
        <v>30</v>
      </c>
      <c r="G173">
        <v>1</v>
      </c>
      <c r="H173" s="1">
        <v>1197643</v>
      </c>
      <c r="I173" s="1">
        <v>838350</v>
      </c>
      <c r="J173" t="s">
        <v>29</v>
      </c>
      <c r="K173" s="1">
        <f>Tabla1[[#This Row],[cantidad]]*Tabla1[[#This Row],[precio_unitario]]</f>
        <v>1197643</v>
      </c>
      <c r="L173" s="1">
        <f>Tabla1[[#This Row],[cantidad]]*Tabla1[[#This Row],[costo_unitario]]</f>
        <v>838350</v>
      </c>
      <c r="M173" s="1">
        <f>Tabla1[[#This Row],[venta_total]]-Tabla1[[#This Row],[costo_total]]</f>
        <v>359293</v>
      </c>
      <c r="N173" s="3">
        <f>Tabla1[[#This Row],[margen]]/Tabla1[[#This Row],[venta_total]]</f>
        <v>0.30000008349733603</v>
      </c>
    </row>
    <row r="174" spans="1:14" x14ac:dyDescent="0.25">
      <c r="A174" s="2">
        <v>45463</v>
      </c>
      <c r="B174" t="s">
        <v>10</v>
      </c>
      <c r="C174" t="s">
        <v>11</v>
      </c>
      <c r="D174" t="s">
        <v>23</v>
      </c>
      <c r="E174" t="s">
        <v>20</v>
      </c>
      <c r="F174" t="s">
        <v>30</v>
      </c>
      <c r="G174">
        <v>1</v>
      </c>
      <c r="H174" s="1">
        <v>1226039</v>
      </c>
      <c r="I174" s="1">
        <v>858227</v>
      </c>
      <c r="J174" t="s">
        <v>22</v>
      </c>
      <c r="K174" s="1">
        <f>Tabla1[[#This Row],[cantidad]]*Tabla1[[#This Row],[precio_unitario]]</f>
        <v>1226039</v>
      </c>
      <c r="L174" s="1">
        <f>Tabla1[[#This Row],[cantidad]]*Tabla1[[#This Row],[costo_unitario]]</f>
        <v>858227</v>
      </c>
      <c r="M174" s="1">
        <f>Tabla1[[#This Row],[venta_total]]-Tabla1[[#This Row],[costo_total]]</f>
        <v>367812</v>
      </c>
      <c r="N174" s="3">
        <f>Tabla1[[#This Row],[margen]]/Tabla1[[#This Row],[venta_total]]</f>
        <v>0.30000024469042175</v>
      </c>
    </row>
    <row r="175" spans="1:14" x14ac:dyDescent="0.25">
      <c r="A175" s="2">
        <v>45398</v>
      </c>
      <c r="B175" t="s">
        <v>34</v>
      </c>
      <c r="C175" t="s">
        <v>11</v>
      </c>
      <c r="D175" t="s">
        <v>12</v>
      </c>
      <c r="E175" t="s">
        <v>13</v>
      </c>
      <c r="F175" t="s">
        <v>14</v>
      </c>
      <c r="G175">
        <v>1</v>
      </c>
      <c r="H175" s="1">
        <v>4801077</v>
      </c>
      <c r="I175" s="1">
        <v>3840861</v>
      </c>
      <c r="J175" t="s">
        <v>25</v>
      </c>
      <c r="K175" s="1">
        <f>Tabla1[[#This Row],[cantidad]]*Tabla1[[#This Row],[precio_unitario]]</f>
        <v>4801077</v>
      </c>
      <c r="L175" s="1">
        <f>Tabla1[[#This Row],[cantidad]]*Tabla1[[#This Row],[costo_unitario]]</f>
        <v>3840861</v>
      </c>
      <c r="M175" s="1">
        <f>Tabla1[[#This Row],[venta_total]]-Tabla1[[#This Row],[costo_total]]</f>
        <v>960216</v>
      </c>
      <c r="N175" s="3">
        <f>Tabla1[[#This Row],[margen]]/Tabla1[[#This Row],[venta_total]]</f>
        <v>0.2000001249719594</v>
      </c>
    </row>
    <row r="176" spans="1:14" x14ac:dyDescent="0.25">
      <c r="A176" s="2">
        <v>45345</v>
      </c>
      <c r="B176" t="s">
        <v>18</v>
      </c>
      <c r="C176" t="s">
        <v>11</v>
      </c>
      <c r="D176" t="s">
        <v>23</v>
      </c>
      <c r="E176" t="s">
        <v>13</v>
      </c>
      <c r="F176" t="s">
        <v>28</v>
      </c>
      <c r="G176">
        <v>1</v>
      </c>
      <c r="H176" s="1">
        <v>2301314</v>
      </c>
      <c r="I176" s="1">
        <v>1841051</v>
      </c>
      <c r="J176" t="s">
        <v>22</v>
      </c>
      <c r="K176" s="1">
        <f>Tabla1[[#This Row],[cantidad]]*Tabla1[[#This Row],[precio_unitario]]</f>
        <v>2301314</v>
      </c>
      <c r="L176" s="1">
        <f>Tabla1[[#This Row],[cantidad]]*Tabla1[[#This Row],[costo_unitario]]</f>
        <v>1841051</v>
      </c>
      <c r="M176" s="1">
        <f>Tabla1[[#This Row],[venta_total]]-Tabla1[[#This Row],[costo_total]]</f>
        <v>460263</v>
      </c>
      <c r="N176" s="3">
        <f>Tabla1[[#This Row],[margen]]/Tabla1[[#This Row],[venta_total]]</f>
        <v>0.20000008690687146</v>
      </c>
    </row>
    <row r="177" spans="1:14" x14ac:dyDescent="0.25">
      <c r="A177" s="2">
        <v>45384</v>
      </c>
      <c r="B177" t="s">
        <v>10</v>
      </c>
      <c r="C177" t="s">
        <v>11</v>
      </c>
      <c r="D177" t="s">
        <v>38</v>
      </c>
      <c r="E177" t="s">
        <v>16</v>
      </c>
      <c r="F177" t="s">
        <v>39</v>
      </c>
      <c r="G177">
        <v>1</v>
      </c>
      <c r="H177" s="1">
        <v>4626097</v>
      </c>
      <c r="I177" s="1">
        <v>3469572</v>
      </c>
      <c r="J177" t="s">
        <v>29</v>
      </c>
      <c r="K177" s="1">
        <f>Tabla1[[#This Row],[cantidad]]*Tabla1[[#This Row],[precio_unitario]]</f>
        <v>4626097</v>
      </c>
      <c r="L177" s="1">
        <f>Tabla1[[#This Row],[cantidad]]*Tabla1[[#This Row],[costo_unitario]]</f>
        <v>3469572</v>
      </c>
      <c r="M177" s="1">
        <f>Tabla1[[#This Row],[venta_total]]-Tabla1[[#This Row],[costo_total]]</f>
        <v>1156525</v>
      </c>
      <c r="N177" s="3">
        <f>Tabla1[[#This Row],[margen]]/Tabla1[[#This Row],[venta_total]]</f>
        <v>0.25000016212370818</v>
      </c>
    </row>
    <row r="178" spans="1:14" x14ac:dyDescent="0.25">
      <c r="A178" s="2">
        <v>45454</v>
      </c>
      <c r="B178" t="s">
        <v>32</v>
      </c>
      <c r="C178" t="s">
        <v>11</v>
      </c>
      <c r="D178" t="s">
        <v>23</v>
      </c>
      <c r="E178" t="s">
        <v>20</v>
      </c>
      <c r="F178" t="s">
        <v>30</v>
      </c>
      <c r="G178">
        <v>1</v>
      </c>
      <c r="H178" s="1">
        <v>1251919</v>
      </c>
      <c r="I178" s="1">
        <v>876343</v>
      </c>
      <c r="J178" t="s">
        <v>15</v>
      </c>
      <c r="K178" s="1">
        <f>Tabla1[[#This Row],[cantidad]]*Tabla1[[#This Row],[precio_unitario]]</f>
        <v>1251919</v>
      </c>
      <c r="L178" s="1">
        <f>Tabla1[[#This Row],[cantidad]]*Tabla1[[#This Row],[costo_unitario]]</f>
        <v>876343</v>
      </c>
      <c r="M178" s="1">
        <f>Tabla1[[#This Row],[venta_total]]-Tabla1[[#This Row],[costo_total]]</f>
        <v>375576</v>
      </c>
      <c r="N178" s="3">
        <f>Tabla1[[#This Row],[margen]]/Tabla1[[#This Row],[venta_total]]</f>
        <v>0.30000023963211675</v>
      </c>
    </row>
    <row r="179" spans="1:14" x14ac:dyDescent="0.25">
      <c r="A179" s="2">
        <v>45451</v>
      </c>
      <c r="B179" t="s">
        <v>34</v>
      </c>
      <c r="C179" t="s">
        <v>11</v>
      </c>
      <c r="D179" t="s">
        <v>12</v>
      </c>
      <c r="E179" t="s">
        <v>13</v>
      </c>
      <c r="F179" t="s">
        <v>14</v>
      </c>
      <c r="G179">
        <v>1</v>
      </c>
      <c r="H179" s="1">
        <v>4249214</v>
      </c>
      <c r="I179" s="1">
        <v>3399371</v>
      </c>
      <c r="J179" t="s">
        <v>29</v>
      </c>
      <c r="K179" s="1">
        <f>Tabla1[[#This Row],[cantidad]]*Tabla1[[#This Row],[precio_unitario]]</f>
        <v>4249214</v>
      </c>
      <c r="L179" s="1">
        <f>Tabla1[[#This Row],[cantidad]]*Tabla1[[#This Row],[costo_unitario]]</f>
        <v>3399371</v>
      </c>
      <c r="M179" s="1">
        <f>Tabla1[[#This Row],[venta_total]]-Tabla1[[#This Row],[costo_total]]</f>
        <v>849843</v>
      </c>
      <c r="N179" s="3">
        <f>Tabla1[[#This Row],[margen]]/Tabla1[[#This Row],[venta_total]]</f>
        <v>0.20000004706752825</v>
      </c>
    </row>
    <row r="180" spans="1:14" x14ac:dyDescent="0.25">
      <c r="A180" s="2">
        <v>45320</v>
      </c>
      <c r="B180" t="s">
        <v>32</v>
      </c>
      <c r="C180" t="s">
        <v>11</v>
      </c>
      <c r="D180" t="s">
        <v>23</v>
      </c>
      <c r="E180" t="s">
        <v>20</v>
      </c>
      <c r="F180" t="s">
        <v>30</v>
      </c>
      <c r="G180">
        <v>1</v>
      </c>
      <c r="H180" s="1">
        <v>985605</v>
      </c>
      <c r="I180" s="1">
        <v>689923</v>
      </c>
      <c r="J180" t="s">
        <v>31</v>
      </c>
      <c r="K180" s="1">
        <f>Tabla1[[#This Row],[cantidad]]*Tabla1[[#This Row],[precio_unitario]]</f>
        <v>985605</v>
      </c>
      <c r="L180" s="1">
        <f>Tabla1[[#This Row],[cantidad]]*Tabla1[[#This Row],[costo_unitario]]</f>
        <v>689923</v>
      </c>
      <c r="M180" s="1">
        <f>Tabla1[[#This Row],[venta_total]]-Tabla1[[#This Row],[costo_total]]</f>
        <v>295682</v>
      </c>
      <c r="N180" s="3">
        <f>Tabla1[[#This Row],[margen]]/Tabla1[[#This Row],[venta_total]]</f>
        <v>0.30000050730262123</v>
      </c>
    </row>
    <row r="181" spans="1:14" x14ac:dyDescent="0.25">
      <c r="A181" s="2">
        <v>45352</v>
      </c>
      <c r="B181" t="s">
        <v>10</v>
      </c>
      <c r="C181" t="s">
        <v>11</v>
      </c>
      <c r="D181" t="s">
        <v>23</v>
      </c>
      <c r="E181" t="s">
        <v>20</v>
      </c>
      <c r="F181" t="s">
        <v>30</v>
      </c>
      <c r="G181">
        <v>1</v>
      </c>
      <c r="H181" s="1">
        <v>970764</v>
      </c>
      <c r="I181" s="1">
        <v>679534</v>
      </c>
      <c r="J181" t="s">
        <v>31</v>
      </c>
      <c r="K181" s="1">
        <f>Tabla1[[#This Row],[cantidad]]*Tabla1[[#This Row],[precio_unitario]]</f>
        <v>970764</v>
      </c>
      <c r="L181" s="1">
        <f>Tabla1[[#This Row],[cantidad]]*Tabla1[[#This Row],[costo_unitario]]</f>
        <v>679534</v>
      </c>
      <c r="M181" s="1">
        <f>Tabla1[[#This Row],[venta_total]]-Tabla1[[#This Row],[costo_total]]</f>
        <v>291230</v>
      </c>
      <c r="N181" s="3">
        <f>Tabla1[[#This Row],[margen]]/Tabla1[[#This Row],[venta_total]]</f>
        <v>0.30000082409318846</v>
      </c>
    </row>
    <row r="182" spans="1:14" x14ac:dyDescent="0.25">
      <c r="A182" s="2">
        <v>45293</v>
      </c>
      <c r="B182" t="s">
        <v>10</v>
      </c>
      <c r="C182" t="s">
        <v>11</v>
      </c>
      <c r="D182" t="s">
        <v>12</v>
      </c>
      <c r="E182" t="s">
        <v>16</v>
      </c>
      <c r="F182" t="s">
        <v>17</v>
      </c>
      <c r="G182">
        <v>1</v>
      </c>
      <c r="H182" s="1">
        <v>2969587</v>
      </c>
      <c r="I182" s="1">
        <v>2316277</v>
      </c>
      <c r="J182" t="s">
        <v>25</v>
      </c>
      <c r="K182" s="1">
        <f>Tabla1[[#This Row],[cantidad]]*Tabla1[[#This Row],[precio_unitario]]</f>
        <v>2969587</v>
      </c>
      <c r="L182" s="1">
        <f>Tabla1[[#This Row],[cantidad]]*Tabla1[[#This Row],[costo_unitario]]</f>
        <v>2316277</v>
      </c>
      <c r="M182" s="1">
        <f>Tabla1[[#This Row],[venta_total]]-Tabla1[[#This Row],[costo_total]]</f>
        <v>653310</v>
      </c>
      <c r="N182" s="3">
        <f>Tabla1[[#This Row],[margen]]/Tabla1[[#This Row],[venta_total]]</f>
        <v>0.22000028960256091</v>
      </c>
    </row>
    <row r="183" spans="1:14" x14ac:dyDescent="0.25">
      <c r="A183" s="2">
        <v>45439</v>
      </c>
      <c r="B183" t="s">
        <v>18</v>
      </c>
      <c r="C183" t="s">
        <v>11</v>
      </c>
      <c r="D183" t="s">
        <v>38</v>
      </c>
      <c r="E183" t="s">
        <v>20</v>
      </c>
      <c r="F183" t="s">
        <v>42</v>
      </c>
      <c r="G183">
        <v>1</v>
      </c>
      <c r="H183" s="1">
        <v>2671867</v>
      </c>
      <c r="I183" s="1">
        <v>1923744</v>
      </c>
      <c r="J183" t="s">
        <v>29</v>
      </c>
      <c r="K183" s="1">
        <f>Tabla1[[#This Row],[cantidad]]*Tabla1[[#This Row],[precio_unitario]]</f>
        <v>2671867</v>
      </c>
      <c r="L183" s="1">
        <f>Tabla1[[#This Row],[cantidad]]*Tabla1[[#This Row],[costo_unitario]]</f>
        <v>1923744</v>
      </c>
      <c r="M183" s="1">
        <f>Tabla1[[#This Row],[venta_total]]-Tabla1[[#This Row],[costo_total]]</f>
        <v>748123</v>
      </c>
      <c r="N183" s="3">
        <f>Tabla1[[#This Row],[margen]]/Tabla1[[#This Row],[venta_total]]</f>
        <v>0.28000008982483038</v>
      </c>
    </row>
    <row r="184" spans="1:14" x14ac:dyDescent="0.25">
      <c r="A184" s="2">
        <v>45417</v>
      </c>
      <c r="B184" t="s">
        <v>18</v>
      </c>
      <c r="C184" t="s">
        <v>11</v>
      </c>
      <c r="D184" t="s">
        <v>19</v>
      </c>
      <c r="E184" t="s">
        <v>13</v>
      </c>
      <c r="F184" t="s">
        <v>33</v>
      </c>
      <c r="G184">
        <v>2</v>
      </c>
      <c r="H184" s="1">
        <v>1479899</v>
      </c>
      <c r="I184" s="1">
        <v>1035929</v>
      </c>
      <c r="J184" t="s">
        <v>25</v>
      </c>
      <c r="K184" s="1">
        <f>Tabla1[[#This Row],[cantidad]]*Tabla1[[#This Row],[precio_unitario]]</f>
        <v>2959798</v>
      </c>
      <c r="L184" s="1">
        <f>Tabla1[[#This Row],[cantidad]]*Tabla1[[#This Row],[costo_unitario]]</f>
        <v>2071858</v>
      </c>
      <c r="M184" s="1">
        <f>Tabla1[[#This Row],[venta_total]]-Tabla1[[#This Row],[costo_total]]</f>
        <v>887940</v>
      </c>
      <c r="N184" s="3">
        <f>Tabla1[[#This Row],[margen]]/Tabla1[[#This Row],[venta_total]]</f>
        <v>0.30000020271653671</v>
      </c>
    </row>
    <row r="185" spans="1:14" x14ac:dyDescent="0.25">
      <c r="A185" s="2">
        <v>45443</v>
      </c>
      <c r="B185" t="s">
        <v>34</v>
      </c>
      <c r="C185" t="s">
        <v>11</v>
      </c>
      <c r="D185" t="s">
        <v>23</v>
      </c>
      <c r="E185" t="s">
        <v>16</v>
      </c>
      <c r="F185" t="s">
        <v>24</v>
      </c>
      <c r="G185">
        <v>1</v>
      </c>
      <c r="H185" s="1">
        <v>1416436</v>
      </c>
      <c r="I185" s="1">
        <v>1062327</v>
      </c>
      <c r="J185" t="s">
        <v>22</v>
      </c>
      <c r="K185" s="1">
        <f>Tabla1[[#This Row],[cantidad]]*Tabla1[[#This Row],[precio_unitario]]</f>
        <v>1416436</v>
      </c>
      <c r="L185" s="1">
        <f>Tabla1[[#This Row],[cantidad]]*Tabla1[[#This Row],[costo_unitario]]</f>
        <v>1062327</v>
      </c>
      <c r="M185" s="1">
        <f>Tabla1[[#This Row],[venta_total]]-Tabla1[[#This Row],[costo_total]]</f>
        <v>354109</v>
      </c>
      <c r="N185" s="3">
        <f>Tabla1[[#This Row],[margen]]/Tabla1[[#This Row],[venta_total]]</f>
        <v>0.25</v>
      </c>
    </row>
    <row r="186" spans="1:14" x14ac:dyDescent="0.25">
      <c r="A186" s="2">
        <v>45422</v>
      </c>
      <c r="B186" t="s">
        <v>18</v>
      </c>
      <c r="C186" t="s">
        <v>11</v>
      </c>
      <c r="D186" t="s">
        <v>23</v>
      </c>
      <c r="E186" t="s">
        <v>20</v>
      </c>
      <c r="F186" t="s">
        <v>30</v>
      </c>
      <c r="G186">
        <v>1</v>
      </c>
      <c r="H186" s="1">
        <v>1132258</v>
      </c>
      <c r="I186" s="1">
        <v>792580</v>
      </c>
      <c r="J186" t="s">
        <v>15</v>
      </c>
      <c r="K186" s="1">
        <f>Tabla1[[#This Row],[cantidad]]*Tabla1[[#This Row],[precio_unitario]]</f>
        <v>1132258</v>
      </c>
      <c r="L186" s="1">
        <f>Tabla1[[#This Row],[cantidad]]*Tabla1[[#This Row],[costo_unitario]]</f>
        <v>792580</v>
      </c>
      <c r="M186" s="1">
        <f>Tabla1[[#This Row],[venta_total]]-Tabla1[[#This Row],[costo_total]]</f>
        <v>339678</v>
      </c>
      <c r="N186" s="3">
        <f>Tabla1[[#This Row],[margen]]/Tabla1[[#This Row],[venta_total]]</f>
        <v>0.30000052991456011</v>
      </c>
    </row>
    <row r="187" spans="1:14" x14ac:dyDescent="0.25">
      <c r="A187" s="2">
        <v>45375</v>
      </c>
      <c r="B187" t="s">
        <v>18</v>
      </c>
      <c r="C187" t="s">
        <v>11</v>
      </c>
      <c r="D187" t="s">
        <v>26</v>
      </c>
      <c r="E187" t="s">
        <v>16</v>
      </c>
      <c r="F187" t="s">
        <v>40</v>
      </c>
      <c r="G187">
        <v>1</v>
      </c>
      <c r="H187" s="1">
        <v>4783545</v>
      </c>
      <c r="I187" s="1">
        <v>3731165</v>
      </c>
      <c r="J187" t="s">
        <v>29</v>
      </c>
      <c r="K187" s="1">
        <f>Tabla1[[#This Row],[cantidad]]*Tabla1[[#This Row],[precio_unitario]]</f>
        <v>4783545</v>
      </c>
      <c r="L187" s="1">
        <f>Tabla1[[#This Row],[cantidad]]*Tabla1[[#This Row],[costo_unitario]]</f>
        <v>3731165</v>
      </c>
      <c r="M187" s="1">
        <f>Tabla1[[#This Row],[venta_total]]-Tabla1[[#This Row],[costo_total]]</f>
        <v>1052380</v>
      </c>
      <c r="N187" s="3">
        <f>Tabla1[[#This Row],[margen]]/Tabla1[[#This Row],[venta_total]]</f>
        <v>0.22000002090499829</v>
      </c>
    </row>
    <row r="188" spans="1:14" x14ac:dyDescent="0.25">
      <c r="A188" s="2">
        <v>45464</v>
      </c>
      <c r="B188" t="s">
        <v>10</v>
      </c>
      <c r="C188" t="s">
        <v>11</v>
      </c>
      <c r="D188" t="s">
        <v>12</v>
      </c>
      <c r="E188" t="s">
        <v>20</v>
      </c>
      <c r="F188" t="s">
        <v>37</v>
      </c>
      <c r="G188">
        <v>1</v>
      </c>
      <c r="H188" s="1">
        <v>2545749</v>
      </c>
      <c r="I188" s="1">
        <v>1909311</v>
      </c>
      <c r="J188" t="s">
        <v>31</v>
      </c>
      <c r="K188" s="1">
        <f>Tabla1[[#This Row],[cantidad]]*Tabla1[[#This Row],[precio_unitario]]</f>
        <v>2545749</v>
      </c>
      <c r="L188" s="1">
        <f>Tabla1[[#This Row],[cantidad]]*Tabla1[[#This Row],[costo_unitario]]</f>
        <v>1909311</v>
      </c>
      <c r="M188" s="1">
        <f>Tabla1[[#This Row],[venta_total]]-Tabla1[[#This Row],[costo_total]]</f>
        <v>636438</v>
      </c>
      <c r="N188" s="3">
        <f>Tabla1[[#This Row],[margen]]/Tabla1[[#This Row],[venta_total]]</f>
        <v>0.25000029460877721</v>
      </c>
    </row>
    <row r="189" spans="1:14" x14ac:dyDescent="0.25">
      <c r="A189" s="2">
        <v>45426</v>
      </c>
      <c r="B189" t="s">
        <v>32</v>
      </c>
      <c r="C189" t="s">
        <v>11</v>
      </c>
      <c r="D189" t="s">
        <v>38</v>
      </c>
      <c r="E189" t="s">
        <v>16</v>
      </c>
      <c r="F189" t="s">
        <v>39</v>
      </c>
      <c r="G189">
        <v>1</v>
      </c>
      <c r="H189" s="1">
        <v>5879964</v>
      </c>
      <c r="I189" s="1">
        <v>4409973</v>
      </c>
      <c r="J189" t="s">
        <v>29</v>
      </c>
      <c r="K189" s="1">
        <f>Tabla1[[#This Row],[cantidad]]*Tabla1[[#This Row],[precio_unitario]]</f>
        <v>5879964</v>
      </c>
      <c r="L189" s="1">
        <f>Tabla1[[#This Row],[cantidad]]*Tabla1[[#This Row],[costo_unitario]]</f>
        <v>4409973</v>
      </c>
      <c r="M189" s="1">
        <f>Tabla1[[#This Row],[venta_total]]-Tabla1[[#This Row],[costo_total]]</f>
        <v>1469991</v>
      </c>
      <c r="N189" s="3">
        <f>Tabla1[[#This Row],[margen]]/Tabla1[[#This Row],[venta_total]]</f>
        <v>0.25</v>
      </c>
    </row>
    <row r="190" spans="1:14" x14ac:dyDescent="0.25">
      <c r="A190" s="2">
        <v>45305</v>
      </c>
      <c r="B190" t="s">
        <v>18</v>
      </c>
      <c r="C190" t="s">
        <v>11</v>
      </c>
      <c r="D190" t="s">
        <v>12</v>
      </c>
      <c r="E190" t="s">
        <v>13</v>
      </c>
      <c r="F190" t="s">
        <v>14</v>
      </c>
      <c r="G190">
        <v>1</v>
      </c>
      <c r="H190" s="1">
        <v>5321020</v>
      </c>
      <c r="I190" s="1">
        <v>4256816</v>
      </c>
      <c r="J190" t="s">
        <v>22</v>
      </c>
      <c r="K190" s="1">
        <f>Tabla1[[#This Row],[cantidad]]*Tabla1[[#This Row],[precio_unitario]]</f>
        <v>5321020</v>
      </c>
      <c r="L190" s="1">
        <f>Tabla1[[#This Row],[cantidad]]*Tabla1[[#This Row],[costo_unitario]]</f>
        <v>4256816</v>
      </c>
      <c r="M190" s="1">
        <f>Tabla1[[#This Row],[venta_total]]-Tabla1[[#This Row],[costo_total]]</f>
        <v>1064204</v>
      </c>
      <c r="N190" s="3">
        <f>Tabla1[[#This Row],[margen]]/Tabla1[[#This Row],[venta_total]]</f>
        <v>0.2</v>
      </c>
    </row>
    <row r="191" spans="1:14" x14ac:dyDescent="0.25">
      <c r="A191" s="2">
        <v>45414</v>
      </c>
      <c r="B191" t="s">
        <v>32</v>
      </c>
      <c r="C191" t="s">
        <v>11</v>
      </c>
      <c r="D191" t="s">
        <v>19</v>
      </c>
      <c r="E191" t="s">
        <v>20</v>
      </c>
      <c r="F191" t="s">
        <v>21</v>
      </c>
      <c r="G191">
        <v>3</v>
      </c>
      <c r="H191" s="1">
        <v>393527</v>
      </c>
      <c r="I191" s="1">
        <v>236116</v>
      </c>
      <c r="J191" t="s">
        <v>31</v>
      </c>
      <c r="K191" s="1">
        <f>Tabla1[[#This Row],[cantidad]]*Tabla1[[#This Row],[precio_unitario]]</f>
        <v>1180581</v>
      </c>
      <c r="L191" s="1">
        <f>Tabla1[[#This Row],[cantidad]]*Tabla1[[#This Row],[costo_unitario]]</f>
        <v>708348</v>
      </c>
      <c r="M191" s="1">
        <f>Tabla1[[#This Row],[venta_total]]-Tabla1[[#This Row],[costo_total]]</f>
        <v>472233</v>
      </c>
      <c r="N191" s="3">
        <f>Tabla1[[#This Row],[margen]]/Tabla1[[#This Row],[venta_total]]</f>
        <v>0.40000050822434041</v>
      </c>
    </row>
    <row r="192" spans="1:14" x14ac:dyDescent="0.25">
      <c r="A192" s="2">
        <v>45341</v>
      </c>
      <c r="B192" t="s">
        <v>34</v>
      </c>
      <c r="C192" t="s">
        <v>11</v>
      </c>
      <c r="D192" t="s">
        <v>19</v>
      </c>
      <c r="E192" t="s">
        <v>13</v>
      </c>
      <c r="F192" t="s">
        <v>33</v>
      </c>
      <c r="G192">
        <v>1</v>
      </c>
      <c r="H192" s="1">
        <v>1826579</v>
      </c>
      <c r="I192" s="1">
        <v>1278605</v>
      </c>
      <c r="J192" t="s">
        <v>22</v>
      </c>
      <c r="K192" s="1">
        <f>Tabla1[[#This Row],[cantidad]]*Tabla1[[#This Row],[precio_unitario]]</f>
        <v>1826579</v>
      </c>
      <c r="L192" s="1">
        <f>Tabla1[[#This Row],[cantidad]]*Tabla1[[#This Row],[costo_unitario]]</f>
        <v>1278605</v>
      </c>
      <c r="M192" s="1">
        <f>Tabla1[[#This Row],[venta_total]]-Tabla1[[#This Row],[costo_total]]</f>
        <v>547974</v>
      </c>
      <c r="N192" s="3">
        <f>Tabla1[[#This Row],[margen]]/Tabla1[[#This Row],[venta_total]]</f>
        <v>0.30000016424145903</v>
      </c>
    </row>
    <row r="193" spans="1:14" x14ac:dyDescent="0.25">
      <c r="A193" s="2">
        <v>45351</v>
      </c>
      <c r="B193" t="s">
        <v>34</v>
      </c>
      <c r="C193" t="s">
        <v>11</v>
      </c>
      <c r="D193" t="s">
        <v>26</v>
      </c>
      <c r="E193" t="s">
        <v>16</v>
      </c>
      <c r="F193" t="s">
        <v>40</v>
      </c>
      <c r="G193">
        <v>1</v>
      </c>
      <c r="H193" s="1">
        <v>4090480</v>
      </c>
      <c r="I193" s="1">
        <v>3190574</v>
      </c>
      <c r="J193" t="s">
        <v>22</v>
      </c>
      <c r="K193" s="1">
        <f>Tabla1[[#This Row],[cantidad]]*Tabla1[[#This Row],[precio_unitario]]</f>
        <v>4090480</v>
      </c>
      <c r="L193" s="1">
        <f>Tabla1[[#This Row],[cantidad]]*Tabla1[[#This Row],[costo_unitario]]</f>
        <v>3190574</v>
      </c>
      <c r="M193" s="1">
        <f>Tabla1[[#This Row],[venta_total]]-Tabla1[[#This Row],[costo_total]]</f>
        <v>899906</v>
      </c>
      <c r="N193" s="3">
        <f>Tabla1[[#This Row],[margen]]/Tabla1[[#This Row],[venta_total]]</f>
        <v>0.22000009778803464</v>
      </c>
    </row>
    <row r="194" spans="1:14" x14ac:dyDescent="0.25">
      <c r="A194" s="2">
        <v>45396</v>
      </c>
      <c r="B194" t="s">
        <v>32</v>
      </c>
      <c r="C194" t="s">
        <v>11</v>
      </c>
      <c r="D194" t="s">
        <v>23</v>
      </c>
      <c r="E194" t="s">
        <v>20</v>
      </c>
      <c r="F194" t="s">
        <v>30</v>
      </c>
      <c r="G194">
        <v>1</v>
      </c>
      <c r="H194" s="1">
        <v>884572</v>
      </c>
      <c r="I194" s="1">
        <v>619200</v>
      </c>
      <c r="J194" t="s">
        <v>15</v>
      </c>
      <c r="K194" s="1">
        <f>Tabla1[[#This Row],[cantidad]]*Tabla1[[#This Row],[precio_unitario]]</f>
        <v>884572</v>
      </c>
      <c r="L194" s="1">
        <f>Tabla1[[#This Row],[cantidad]]*Tabla1[[#This Row],[costo_unitario]]</f>
        <v>619200</v>
      </c>
      <c r="M194" s="1">
        <f>Tabla1[[#This Row],[venta_total]]-Tabla1[[#This Row],[costo_total]]</f>
        <v>265372</v>
      </c>
      <c r="N194" s="3">
        <f>Tabla1[[#This Row],[margen]]/Tabla1[[#This Row],[venta_total]]</f>
        <v>0.30000045219609034</v>
      </c>
    </row>
    <row r="195" spans="1:14" x14ac:dyDescent="0.25">
      <c r="A195" s="2">
        <v>45453</v>
      </c>
      <c r="B195" t="s">
        <v>34</v>
      </c>
      <c r="C195" t="s">
        <v>11</v>
      </c>
      <c r="D195" t="s">
        <v>38</v>
      </c>
      <c r="E195" t="s">
        <v>20</v>
      </c>
      <c r="F195" t="s">
        <v>42</v>
      </c>
      <c r="G195">
        <v>1</v>
      </c>
      <c r="H195" s="1">
        <v>2673320</v>
      </c>
      <c r="I195" s="1">
        <v>1924790</v>
      </c>
      <c r="J195" t="s">
        <v>22</v>
      </c>
      <c r="K195" s="1">
        <f>Tabla1[[#This Row],[cantidad]]*Tabla1[[#This Row],[precio_unitario]]</f>
        <v>2673320</v>
      </c>
      <c r="L195" s="1">
        <f>Tabla1[[#This Row],[cantidad]]*Tabla1[[#This Row],[costo_unitario]]</f>
        <v>1924790</v>
      </c>
      <c r="M195" s="1">
        <f>Tabla1[[#This Row],[venta_total]]-Tabla1[[#This Row],[costo_total]]</f>
        <v>748530</v>
      </c>
      <c r="N195" s="3">
        <f>Tabla1[[#This Row],[margen]]/Tabla1[[#This Row],[venta_total]]</f>
        <v>0.2800001496266814</v>
      </c>
    </row>
    <row r="196" spans="1:14" x14ac:dyDescent="0.25">
      <c r="A196" s="2">
        <v>45430</v>
      </c>
      <c r="B196" t="s">
        <v>32</v>
      </c>
      <c r="C196" t="s">
        <v>11</v>
      </c>
      <c r="D196" t="s">
        <v>26</v>
      </c>
      <c r="E196" t="s">
        <v>16</v>
      </c>
      <c r="F196" t="s">
        <v>40</v>
      </c>
      <c r="G196">
        <v>1</v>
      </c>
      <c r="H196" s="1">
        <v>4072505</v>
      </c>
      <c r="I196" s="1">
        <v>3176553</v>
      </c>
      <c r="J196" t="s">
        <v>25</v>
      </c>
      <c r="K196" s="1">
        <f>Tabla1[[#This Row],[cantidad]]*Tabla1[[#This Row],[precio_unitario]]</f>
        <v>4072505</v>
      </c>
      <c r="L196" s="1">
        <f>Tabla1[[#This Row],[cantidad]]*Tabla1[[#This Row],[costo_unitario]]</f>
        <v>3176553</v>
      </c>
      <c r="M196" s="1">
        <f>Tabla1[[#This Row],[venta_total]]-Tabla1[[#This Row],[costo_total]]</f>
        <v>895952</v>
      </c>
      <c r="N196" s="3">
        <f>Tabla1[[#This Row],[margen]]/Tabla1[[#This Row],[venta_total]]</f>
        <v>0.22000022099420383</v>
      </c>
    </row>
    <row r="197" spans="1:14" x14ac:dyDescent="0.25">
      <c r="A197" s="2">
        <v>45298</v>
      </c>
      <c r="B197" t="s">
        <v>34</v>
      </c>
      <c r="C197" t="s">
        <v>11</v>
      </c>
      <c r="D197" t="s">
        <v>26</v>
      </c>
      <c r="E197" t="s">
        <v>20</v>
      </c>
      <c r="F197" t="s">
        <v>36</v>
      </c>
      <c r="G197">
        <v>1</v>
      </c>
      <c r="H197" s="1">
        <v>2827621</v>
      </c>
      <c r="I197" s="1">
        <v>2120715</v>
      </c>
      <c r="J197" t="s">
        <v>22</v>
      </c>
      <c r="K197" s="1">
        <f>Tabla1[[#This Row],[cantidad]]*Tabla1[[#This Row],[precio_unitario]]</f>
        <v>2827621</v>
      </c>
      <c r="L197" s="1">
        <f>Tabla1[[#This Row],[cantidad]]*Tabla1[[#This Row],[costo_unitario]]</f>
        <v>2120715</v>
      </c>
      <c r="M197" s="1">
        <f>Tabla1[[#This Row],[venta_total]]-Tabla1[[#This Row],[costo_total]]</f>
        <v>706906</v>
      </c>
      <c r="N197" s="3">
        <f>Tabla1[[#This Row],[margen]]/Tabla1[[#This Row],[venta_total]]</f>
        <v>0.25000026524063867</v>
      </c>
    </row>
    <row r="198" spans="1:14" x14ac:dyDescent="0.25">
      <c r="A198" s="2">
        <v>45456</v>
      </c>
      <c r="B198" t="s">
        <v>10</v>
      </c>
      <c r="C198" t="s">
        <v>11</v>
      </c>
      <c r="D198" t="s">
        <v>12</v>
      </c>
      <c r="E198" t="s">
        <v>16</v>
      </c>
      <c r="F198" t="s">
        <v>17</v>
      </c>
      <c r="G198">
        <v>1</v>
      </c>
      <c r="H198" s="1">
        <v>3930625</v>
      </c>
      <c r="I198" s="1">
        <v>3065887</v>
      </c>
      <c r="J198" t="s">
        <v>29</v>
      </c>
      <c r="K198" s="1">
        <f>Tabla1[[#This Row],[cantidad]]*Tabla1[[#This Row],[precio_unitario]]</f>
        <v>3930625</v>
      </c>
      <c r="L198" s="1">
        <f>Tabla1[[#This Row],[cantidad]]*Tabla1[[#This Row],[costo_unitario]]</f>
        <v>3065887</v>
      </c>
      <c r="M198" s="1">
        <f>Tabla1[[#This Row],[venta_total]]-Tabla1[[#This Row],[costo_total]]</f>
        <v>864738</v>
      </c>
      <c r="N198" s="3">
        <f>Tabla1[[#This Row],[margen]]/Tabla1[[#This Row],[venta_total]]</f>
        <v>0.2200001272062331</v>
      </c>
    </row>
    <row r="199" spans="1:14" x14ac:dyDescent="0.25">
      <c r="A199" s="2">
        <v>45297</v>
      </c>
      <c r="B199" t="s">
        <v>34</v>
      </c>
      <c r="C199" t="s">
        <v>11</v>
      </c>
      <c r="D199" t="s">
        <v>12</v>
      </c>
      <c r="E199" t="s">
        <v>13</v>
      </c>
      <c r="F199" t="s">
        <v>14</v>
      </c>
      <c r="G199">
        <v>1</v>
      </c>
      <c r="H199" s="1">
        <v>4969584</v>
      </c>
      <c r="I199" s="1">
        <v>3975667</v>
      </c>
      <c r="J199" t="s">
        <v>22</v>
      </c>
      <c r="K199" s="1">
        <f>Tabla1[[#This Row],[cantidad]]*Tabla1[[#This Row],[precio_unitario]]</f>
        <v>4969584</v>
      </c>
      <c r="L199" s="1">
        <f>Tabla1[[#This Row],[cantidad]]*Tabla1[[#This Row],[costo_unitario]]</f>
        <v>3975667</v>
      </c>
      <c r="M199" s="1">
        <f>Tabla1[[#This Row],[venta_total]]-Tabla1[[#This Row],[costo_total]]</f>
        <v>993917</v>
      </c>
      <c r="N199" s="3">
        <f>Tabla1[[#This Row],[margen]]/Tabla1[[#This Row],[venta_total]]</f>
        <v>0.20000004024481727</v>
      </c>
    </row>
    <row r="200" spans="1:14" x14ac:dyDescent="0.25">
      <c r="A200" s="2">
        <v>45309</v>
      </c>
      <c r="B200" t="s">
        <v>34</v>
      </c>
      <c r="C200" t="s">
        <v>11</v>
      </c>
      <c r="D200" t="s">
        <v>38</v>
      </c>
      <c r="E200" t="s">
        <v>20</v>
      </c>
      <c r="F200" t="s">
        <v>42</v>
      </c>
      <c r="G200">
        <v>1</v>
      </c>
      <c r="H200" s="1">
        <v>2897572</v>
      </c>
      <c r="I200" s="1">
        <v>2086251</v>
      </c>
      <c r="J200" t="s">
        <v>31</v>
      </c>
      <c r="K200" s="1">
        <f>Tabla1[[#This Row],[cantidad]]*Tabla1[[#This Row],[precio_unitario]]</f>
        <v>2897572</v>
      </c>
      <c r="L200" s="1">
        <f>Tabla1[[#This Row],[cantidad]]*Tabla1[[#This Row],[costo_unitario]]</f>
        <v>2086251</v>
      </c>
      <c r="M200" s="1">
        <f>Tabla1[[#This Row],[venta_total]]-Tabla1[[#This Row],[costo_total]]</f>
        <v>811321</v>
      </c>
      <c r="N200" s="3">
        <f>Tabla1[[#This Row],[margen]]/Tabla1[[#This Row],[venta_total]]</f>
        <v>0.28000028989788694</v>
      </c>
    </row>
    <row r="201" spans="1:14" x14ac:dyDescent="0.25">
      <c r="A201" s="2">
        <v>45463</v>
      </c>
      <c r="B201" t="s">
        <v>10</v>
      </c>
      <c r="C201" t="s">
        <v>11</v>
      </c>
      <c r="D201" t="s">
        <v>12</v>
      </c>
      <c r="E201" t="s">
        <v>13</v>
      </c>
      <c r="F201" t="s">
        <v>14</v>
      </c>
      <c r="G201">
        <v>1</v>
      </c>
      <c r="H201" s="1">
        <v>5325368</v>
      </c>
      <c r="I201" s="1">
        <v>4260294</v>
      </c>
      <c r="J201" t="s">
        <v>15</v>
      </c>
      <c r="K201" s="1">
        <f>Tabla1[[#This Row],[cantidad]]*Tabla1[[#This Row],[precio_unitario]]</f>
        <v>5325368</v>
      </c>
      <c r="L201" s="1">
        <f>Tabla1[[#This Row],[cantidad]]*Tabla1[[#This Row],[costo_unitario]]</f>
        <v>4260294</v>
      </c>
      <c r="M201" s="1">
        <f>Tabla1[[#This Row],[venta_total]]-Tabla1[[#This Row],[costo_total]]</f>
        <v>1065074</v>
      </c>
      <c r="N201" s="3">
        <f>Tabla1[[#This Row],[margen]]/Tabla1[[#This Row],[venta_total]]</f>
        <v>0.20000007511218004</v>
      </c>
    </row>
    <row r="202" spans="1:14" x14ac:dyDescent="0.25">
      <c r="A202" s="2">
        <v>45348</v>
      </c>
      <c r="B202" t="s">
        <v>18</v>
      </c>
      <c r="C202" t="s">
        <v>11</v>
      </c>
      <c r="D202" t="s">
        <v>12</v>
      </c>
      <c r="E202" t="s">
        <v>16</v>
      </c>
      <c r="F202" t="s">
        <v>17</v>
      </c>
      <c r="G202">
        <v>1</v>
      </c>
      <c r="H202" s="1">
        <v>3499577</v>
      </c>
      <c r="I202" s="1">
        <v>2729670</v>
      </c>
      <c r="J202" t="s">
        <v>31</v>
      </c>
      <c r="K202" s="1">
        <f>Tabla1[[#This Row],[cantidad]]*Tabla1[[#This Row],[precio_unitario]]</f>
        <v>3499577</v>
      </c>
      <c r="L202" s="1">
        <f>Tabla1[[#This Row],[cantidad]]*Tabla1[[#This Row],[costo_unitario]]</f>
        <v>2729670</v>
      </c>
      <c r="M202" s="1">
        <f>Tabla1[[#This Row],[venta_total]]-Tabla1[[#This Row],[costo_total]]</f>
        <v>769907</v>
      </c>
      <c r="N202" s="3">
        <f>Tabla1[[#This Row],[margen]]/Tabla1[[#This Row],[venta_total]]</f>
        <v>0.22000001714492923</v>
      </c>
    </row>
    <row r="203" spans="1:14" x14ac:dyDescent="0.25">
      <c r="A203" s="2">
        <v>45401</v>
      </c>
      <c r="B203" t="s">
        <v>32</v>
      </c>
      <c r="C203" t="s">
        <v>11</v>
      </c>
      <c r="D203" t="s">
        <v>23</v>
      </c>
      <c r="E203" t="s">
        <v>16</v>
      </c>
      <c r="F203" t="s">
        <v>24</v>
      </c>
      <c r="G203">
        <v>1</v>
      </c>
      <c r="H203" s="1">
        <v>1837696</v>
      </c>
      <c r="I203" s="1">
        <v>1378272</v>
      </c>
      <c r="J203" t="s">
        <v>15</v>
      </c>
      <c r="K203" s="1">
        <f>Tabla1[[#This Row],[cantidad]]*Tabla1[[#This Row],[precio_unitario]]</f>
        <v>1837696</v>
      </c>
      <c r="L203" s="1">
        <f>Tabla1[[#This Row],[cantidad]]*Tabla1[[#This Row],[costo_unitario]]</f>
        <v>1378272</v>
      </c>
      <c r="M203" s="1">
        <f>Tabla1[[#This Row],[venta_total]]-Tabla1[[#This Row],[costo_total]]</f>
        <v>459424</v>
      </c>
      <c r="N203" s="3">
        <f>Tabla1[[#This Row],[margen]]/Tabla1[[#This Row],[venta_total]]</f>
        <v>0.25</v>
      </c>
    </row>
    <row r="204" spans="1:14" x14ac:dyDescent="0.25">
      <c r="A204" s="2">
        <v>45423</v>
      </c>
      <c r="B204" t="s">
        <v>18</v>
      </c>
      <c r="C204" t="s">
        <v>11</v>
      </c>
      <c r="D204" t="s">
        <v>26</v>
      </c>
      <c r="E204" t="s">
        <v>13</v>
      </c>
      <c r="F204" t="s">
        <v>27</v>
      </c>
      <c r="G204">
        <v>1</v>
      </c>
      <c r="H204" s="1">
        <v>8739303</v>
      </c>
      <c r="I204" s="1">
        <v>6991442</v>
      </c>
      <c r="J204" t="s">
        <v>25</v>
      </c>
      <c r="K204" s="1">
        <f>Tabla1[[#This Row],[cantidad]]*Tabla1[[#This Row],[precio_unitario]]</f>
        <v>8739303</v>
      </c>
      <c r="L204" s="1">
        <f>Tabla1[[#This Row],[cantidad]]*Tabla1[[#This Row],[costo_unitario]]</f>
        <v>6991442</v>
      </c>
      <c r="M204" s="1">
        <f>Tabla1[[#This Row],[venta_total]]-Tabla1[[#This Row],[costo_total]]</f>
        <v>1747861</v>
      </c>
      <c r="N204" s="3">
        <f>Tabla1[[#This Row],[margen]]/Tabla1[[#This Row],[venta_total]]</f>
        <v>0.2000000457702405</v>
      </c>
    </row>
    <row r="205" spans="1:14" x14ac:dyDescent="0.25">
      <c r="A205" s="2">
        <v>45398</v>
      </c>
      <c r="B205" t="s">
        <v>10</v>
      </c>
      <c r="C205" t="s">
        <v>11</v>
      </c>
      <c r="D205" t="s">
        <v>38</v>
      </c>
      <c r="E205" t="s">
        <v>16</v>
      </c>
      <c r="F205" t="s">
        <v>39</v>
      </c>
      <c r="G205">
        <v>1</v>
      </c>
      <c r="H205" s="1">
        <v>3951415</v>
      </c>
      <c r="I205" s="1">
        <v>2963561</v>
      </c>
      <c r="J205" t="s">
        <v>29</v>
      </c>
      <c r="K205" s="1">
        <f>Tabla1[[#This Row],[cantidad]]*Tabla1[[#This Row],[precio_unitario]]</f>
        <v>3951415</v>
      </c>
      <c r="L205" s="1">
        <f>Tabla1[[#This Row],[cantidad]]*Tabla1[[#This Row],[costo_unitario]]</f>
        <v>2963561</v>
      </c>
      <c r="M205" s="1">
        <f>Tabla1[[#This Row],[venta_total]]-Tabla1[[#This Row],[costo_total]]</f>
        <v>987854</v>
      </c>
      <c r="N205" s="3">
        <f>Tabla1[[#This Row],[margen]]/Tabla1[[#This Row],[venta_total]]</f>
        <v>0.25000006326847474</v>
      </c>
    </row>
    <row r="206" spans="1:14" x14ac:dyDescent="0.25">
      <c r="A206" s="2">
        <v>45456</v>
      </c>
      <c r="B206" t="s">
        <v>10</v>
      </c>
      <c r="C206" t="s">
        <v>11</v>
      </c>
      <c r="D206" t="s">
        <v>23</v>
      </c>
      <c r="E206" t="s">
        <v>13</v>
      </c>
      <c r="F206" t="s">
        <v>28</v>
      </c>
      <c r="G206">
        <v>1</v>
      </c>
      <c r="H206" s="1">
        <v>2367800</v>
      </c>
      <c r="I206" s="1">
        <v>1894240</v>
      </c>
      <c r="J206" t="s">
        <v>25</v>
      </c>
      <c r="K206" s="1">
        <f>Tabla1[[#This Row],[cantidad]]*Tabla1[[#This Row],[precio_unitario]]</f>
        <v>2367800</v>
      </c>
      <c r="L206" s="1">
        <f>Tabla1[[#This Row],[cantidad]]*Tabla1[[#This Row],[costo_unitario]]</f>
        <v>1894240</v>
      </c>
      <c r="M206" s="1">
        <f>Tabla1[[#This Row],[venta_total]]-Tabla1[[#This Row],[costo_total]]</f>
        <v>473560</v>
      </c>
      <c r="N206" s="3">
        <f>Tabla1[[#This Row],[margen]]/Tabla1[[#This Row],[venta_total]]</f>
        <v>0.2</v>
      </c>
    </row>
    <row r="207" spans="1:14" x14ac:dyDescent="0.25">
      <c r="A207" s="2">
        <v>45397</v>
      </c>
      <c r="B207" t="s">
        <v>10</v>
      </c>
      <c r="C207" t="s">
        <v>11</v>
      </c>
      <c r="D207" t="s">
        <v>12</v>
      </c>
      <c r="E207" t="s">
        <v>20</v>
      </c>
      <c r="F207" t="s">
        <v>37</v>
      </c>
      <c r="G207">
        <v>1</v>
      </c>
      <c r="H207" s="1">
        <v>1940181</v>
      </c>
      <c r="I207" s="1">
        <v>1455135</v>
      </c>
      <c r="J207" t="s">
        <v>22</v>
      </c>
      <c r="K207" s="1">
        <f>Tabla1[[#This Row],[cantidad]]*Tabla1[[#This Row],[precio_unitario]]</f>
        <v>1940181</v>
      </c>
      <c r="L207" s="1">
        <f>Tabla1[[#This Row],[cantidad]]*Tabla1[[#This Row],[costo_unitario]]</f>
        <v>1455135</v>
      </c>
      <c r="M207" s="1">
        <f>Tabla1[[#This Row],[venta_total]]-Tabla1[[#This Row],[costo_total]]</f>
        <v>485046</v>
      </c>
      <c r="N207" s="3">
        <f>Tabla1[[#This Row],[margen]]/Tabla1[[#This Row],[venta_total]]</f>
        <v>0.25000038656187235</v>
      </c>
    </row>
    <row r="208" spans="1:14" x14ac:dyDescent="0.25">
      <c r="A208" s="2">
        <v>45301</v>
      </c>
      <c r="B208" t="s">
        <v>18</v>
      </c>
      <c r="C208" t="s">
        <v>11</v>
      </c>
      <c r="D208" t="s">
        <v>12</v>
      </c>
      <c r="E208" t="s">
        <v>13</v>
      </c>
      <c r="F208" t="s">
        <v>14</v>
      </c>
      <c r="G208">
        <v>1</v>
      </c>
      <c r="H208" s="1">
        <v>4265364</v>
      </c>
      <c r="I208" s="1">
        <v>3412291</v>
      </c>
      <c r="J208" t="s">
        <v>22</v>
      </c>
      <c r="K208" s="1">
        <f>Tabla1[[#This Row],[cantidad]]*Tabla1[[#This Row],[precio_unitario]]</f>
        <v>4265364</v>
      </c>
      <c r="L208" s="1">
        <f>Tabla1[[#This Row],[cantidad]]*Tabla1[[#This Row],[costo_unitario]]</f>
        <v>3412291</v>
      </c>
      <c r="M208" s="1">
        <f>Tabla1[[#This Row],[venta_total]]-Tabla1[[#This Row],[costo_total]]</f>
        <v>853073</v>
      </c>
      <c r="N208" s="3">
        <f>Tabla1[[#This Row],[margen]]/Tabla1[[#This Row],[venta_total]]</f>
        <v>0.20000004688931589</v>
      </c>
    </row>
    <row r="209" spans="1:14" x14ac:dyDescent="0.25">
      <c r="A209" s="2">
        <v>45415</v>
      </c>
      <c r="B209" t="s">
        <v>32</v>
      </c>
      <c r="C209" t="s">
        <v>11</v>
      </c>
      <c r="D209" t="s">
        <v>19</v>
      </c>
      <c r="E209" t="s">
        <v>20</v>
      </c>
      <c r="F209" t="s">
        <v>21</v>
      </c>
      <c r="G209">
        <v>3</v>
      </c>
      <c r="H209" s="1">
        <v>410707</v>
      </c>
      <c r="I209" s="1">
        <v>246424</v>
      </c>
      <c r="J209" t="s">
        <v>22</v>
      </c>
      <c r="K209" s="1">
        <f>Tabla1[[#This Row],[cantidad]]*Tabla1[[#This Row],[precio_unitario]]</f>
        <v>1232121</v>
      </c>
      <c r="L209" s="1">
        <f>Tabla1[[#This Row],[cantidad]]*Tabla1[[#This Row],[costo_unitario]]</f>
        <v>739272</v>
      </c>
      <c r="M209" s="1">
        <f>Tabla1[[#This Row],[venta_total]]-Tabla1[[#This Row],[costo_total]]</f>
        <v>492849</v>
      </c>
      <c r="N209" s="3">
        <f>Tabla1[[#This Row],[margen]]/Tabla1[[#This Row],[venta_total]]</f>
        <v>0.40000048696516005</v>
      </c>
    </row>
    <row r="210" spans="1:14" x14ac:dyDescent="0.25">
      <c r="A210" s="2">
        <v>45352</v>
      </c>
      <c r="B210" t="s">
        <v>32</v>
      </c>
      <c r="C210" t="s">
        <v>11</v>
      </c>
      <c r="D210" t="s">
        <v>26</v>
      </c>
      <c r="E210" t="s">
        <v>16</v>
      </c>
      <c r="F210" t="s">
        <v>40</v>
      </c>
      <c r="G210">
        <v>1</v>
      </c>
      <c r="H210" s="1">
        <v>3545494</v>
      </c>
      <c r="I210" s="1">
        <v>2765485</v>
      </c>
      <c r="J210" t="s">
        <v>29</v>
      </c>
      <c r="K210" s="1">
        <f>Tabla1[[#This Row],[cantidad]]*Tabla1[[#This Row],[precio_unitario]]</f>
        <v>3545494</v>
      </c>
      <c r="L210" s="1">
        <f>Tabla1[[#This Row],[cantidad]]*Tabla1[[#This Row],[costo_unitario]]</f>
        <v>2765485</v>
      </c>
      <c r="M210" s="1">
        <f>Tabla1[[#This Row],[venta_total]]-Tabla1[[#This Row],[costo_total]]</f>
        <v>780009</v>
      </c>
      <c r="N210" s="3">
        <f>Tabla1[[#This Row],[margen]]/Tabla1[[#This Row],[venta_total]]</f>
        <v>0.22000009025540587</v>
      </c>
    </row>
    <row r="211" spans="1:14" x14ac:dyDescent="0.25">
      <c r="A211" s="2">
        <v>45399</v>
      </c>
      <c r="B211" t="s">
        <v>34</v>
      </c>
      <c r="C211" t="s">
        <v>11</v>
      </c>
      <c r="D211" t="s">
        <v>23</v>
      </c>
      <c r="E211" t="s">
        <v>20</v>
      </c>
      <c r="F211" t="s">
        <v>30</v>
      </c>
      <c r="G211">
        <v>1</v>
      </c>
      <c r="H211" s="1">
        <v>916322</v>
      </c>
      <c r="I211" s="1">
        <v>641425</v>
      </c>
      <c r="J211" t="s">
        <v>22</v>
      </c>
      <c r="K211" s="1">
        <f>Tabla1[[#This Row],[cantidad]]*Tabla1[[#This Row],[precio_unitario]]</f>
        <v>916322</v>
      </c>
      <c r="L211" s="1">
        <f>Tabla1[[#This Row],[cantidad]]*Tabla1[[#This Row],[costo_unitario]]</f>
        <v>641425</v>
      </c>
      <c r="M211" s="1">
        <f>Tabla1[[#This Row],[venta_total]]-Tabla1[[#This Row],[costo_total]]</f>
        <v>274897</v>
      </c>
      <c r="N211" s="3">
        <f>Tabla1[[#This Row],[margen]]/Tabla1[[#This Row],[venta_total]]</f>
        <v>0.30000043652777081</v>
      </c>
    </row>
    <row r="212" spans="1:14" x14ac:dyDescent="0.25">
      <c r="A212" s="2">
        <v>45340</v>
      </c>
      <c r="B212" t="s">
        <v>34</v>
      </c>
      <c r="C212" t="s">
        <v>11</v>
      </c>
      <c r="D212" t="s">
        <v>19</v>
      </c>
      <c r="E212" t="s">
        <v>16</v>
      </c>
      <c r="F212" t="s">
        <v>35</v>
      </c>
      <c r="G212">
        <v>2</v>
      </c>
      <c r="H212" s="1">
        <v>1015954</v>
      </c>
      <c r="I212" s="1">
        <v>660370</v>
      </c>
      <c r="J212" t="s">
        <v>22</v>
      </c>
      <c r="K212" s="1">
        <f>Tabla1[[#This Row],[cantidad]]*Tabla1[[#This Row],[precio_unitario]]</f>
        <v>2031908</v>
      </c>
      <c r="L212" s="1">
        <f>Tabla1[[#This Row],[cantidad]]*Tabla1[[#This Row],[costo_unitario]]</f>
        <v>1320740</v>
      </c>
      <c r="M212" s="1">
        <f>Tabla1[[#This Row],[venta_total]]-Tabla1[[#This Row],[costo_total]]</f>
        <v>711168</v>
      </c>
      <c r="N212" s="3">
        <f>Tabla1[[#This Row],[margen]]/Tabla1[[#This Row],[venta_total]]</f>
        <v>0.35000009842965329</v>
      </c>
    </row>
    <row r="213" spans="1:14" x14ac:dyDescent="0.25">
      <c r="A213" s="2">
        <v>45472</v>
      </c>
      <c r="B213" t="s">
        <v>34</v>
      </c>
      <c r="C213" t="s">
        <v>11</v>
      </c>
      <c r="D213" t="s">
        <v>19</v>
      </c>
      <c r="E213" t="s">
        <v>20</v>
      </c>
      <c r="F213" t="s">
        <v>21</v>
      </c>
      <c r="G213">
        <v>3</v>
      </c>
      <c r="H213" s="1">
        <v>167779</v>
      </c>
      <c r="I213" s="1">
        <v>100667</v>
      </c>
      <c r="J213" t="s">
        <v>15</v>
      </c>
      <c r="K213" s="1">
        <f>Tabla1[[#This Row],[cantidad]]*Tabla1[[#This Row],[precio_unitario]]</f>
        <v>503337</v>
      </c>
      <c r="L213" s="1">
        <f>Tabla1[[#This Row],[cantidad]]*Tabla1[[#This Row],[costo_unitario]]</f>
        <v>302001</v>
      </c>
      <c r="M213" s="1">
        <f>Tabla1[[#This Row],[venta_total]]-Tabla1[[#This Row],[costo_total]]</f>
        <v>201336</v>
      </c>
      <c r="N213" s="3">
        <f>Tabla1[[#This Row],[margen]]/Tabla1[[#This Row],[venta_total]]</f>
        <v>0.40000238408859273</v>
      </c>
    </row>
    <row r="214" spans="1:14" x14ac:dyDescent="0.25">
      <c r="A214" s="2">
        <v>45412</v>
      </c>
      <c r="B214" t="s">
        <v>34</v>
      </c>
      <c r="C214" t="s">
        <v>11</v>
      </c>
      <c r="D214" t="s">
        <v>12</v>
      </c>
      <c r="E214" t="s">
        <v>16</v>
      </c>
      <c r="F214" t="s">
        <v>17</v>
      </c>
      <c r="G214">
        <v>1</v>
      </c>
      <c r="H214" s="1">
        <v>2956199</v>
      </c>
      <c r="I214" s="1">
        <v>2305835</v>
      </c>
      <c r="J214" t="s">
        <v>25</v>
      </c>
      <c r="K214" s="1">
        <f>Tabla1[[#This Row],[cantidad]]*Tabla1[[#This Row],[precio_unitario]]</f>
        <v>2956199</v>
      </c>
      <c r="L214" s="1">
        <f>Tabla1[[#This Row],[cantidad]]*Tabla1[[#This Row],[costo_unitario]]</f>
        <v>2305835</v>
      </c>
      <c r="M214" s="1">
        <f>Tabla1[[#This Row],[venta_total]]-Tabla1[[#This Row],[costo_total]]</f>
        <v>650364</v>
      </c>
      <c r="N214" s="3">
        <f>Tabla1[[#This Row],[margen]]/Tabla1[[#This Row],[venta_total]]</f>
        <v>0.2200000744198885</v>
      </c>
    </row>
    <row r="215" spans="1:14" x14ac:dyDescent="0.25">
      <c r="A215" s="2">
        <v>45442</v>
      </c>
      <c r="B215" t="s">
        <v>18</v>
      </c>
      <c r="C215" t="s">
        <v>11</v>
      </c>
      <c r="D215" t="s">
        <v>38</v>
      </c>
      <c r="E215" t="s">
        <v>20</v>
      </c>
      <c r="F215" t="s">
        <v>42</v>
      </c>
      <c r="G215">
        <v>1</v>
      </c>
      <c r="H215" s="1">
        <v>3340370</v>
      </c>
      <c r="I215" s="1">
        <v>2405066</v>
      </c>
      <c r="J215" t="s">
        <v>31</v>
      </c>
      <c r="K215" s="1">
        <f>Tabla1[[#This Row],[cantidad]]*Tabla1[[#This Row],[precio_unitario]]</f>
        <v>3340370</v>
      </c>
      <c r="L215" s="1">
        <f>Tabla1[[#This Row],[cantidad]]*Tabla1[[#This Row],[costo_unitario]]</f>
        <v>2405066</v>
      </c>
      <c r="M215" s="1">
        <f>Tabla1[[#This Row],[venta_total]]-Tabla1[[#This Row],[costo_total]]</f>
        <v>935304</v>
      </c>
      <c r="N215" s="3">
        <f>Tabla1[[#This Row],[margen]]/Tabla1[[#This Row],[venta_total]]</f>
        <v>0.28000011974721362</v>
      </c>
    </row>
    <row r="216" spans="1:14" x14ac:dyDescent="0.25">
      <c r="A216" s="2">
        <v>45394</v>
      </c>
      <c r="B216" t="s">
        <v>18</v>
      </c>
      <c r="C216" t="s">
        <v>11</v>
      </c>
      <c r="D216" t="s">
        <v>23</v>
      </c>
      <c r="E216" t="s">
        <v>13</v>
      </c>
      <c r="F216" t="s">
        <v>28</v>
      </c>
      <c r="G216">
        <v>1</v>
      </c>
      <c r="H216" s="1">
        <v>3439527</v>
      </c>
      <c r="I216" s="1">
        <v>2751621</v>
      </c>
      <c r="J216" t="s">
        <v>31</v>
      </c>
      <c r="K216" s="1">
        <f>Tabla1[[#This Row],[cantidad]]*Tabla1[[#This Row],[precio_unitario]]</f>
        <v>3439527</v>
      </c>
      <c r="L216" s="1">
        <f>Tabla1[[#This Row],[cantidad]]*Tabla1[[#This Row],[costo_unitario]]</f>
        <v>2751621</v>
      </c>
      <c r="M216" s="1">
        <f>Tabla1[[#This Row],[venta_total]]-Tabla1[[#This Row],[costo_total]]</f>
        <v>687906</v>
      </c>
      <c r="N216" s="3">
        <f>Tabla1[[#This Row],[margen]]/Tabla1[[#This Row],[venta_total]]</f>
        <v>0.20000017444259049</v>
      </c>
    </row>
    <row r="217" spans="1:14" x14ac:dyDescent="0.25">
      <c r="A217" s="2">
        <v>45335</v>
      </c>
      <c r="B217" t="s">
        <v>32</v>
      </c>
      <c r="C217" t="s">
        <v>11</v>
      </c>
      <c r="D217" t="s">
        <v>26</v>
      </c>
      <c r="E217" t="s">
        <v>20</v>
      </c>
      <c r="F217" t="s">
        <v>36</v>
      </c>
      <c r="G217">
        <v>1</v>
      </c>
      <c r="H217" s="1">
        <v>2199624</v>
      </c>
      <c r="I217" s="1">
        <v>1649718</v>
      </c>
      <c r="J217" t="s">
        <v>29</v>
      </c>
      <c r="K217" s="1">
        <f>Tabla1[[#This Row],[cantidad]]*Tabla1[[#This Row],[precio_unitario]]</f>
        <v>2199624</v>
      </c>
      <c r="L217" s="1">
        <f>Tabla1[[#This Row],[cantidad]]*Tabla1[[#This Row],[costo_unitario]]</f>
        <v>1649718</v>
      </c>
      <c r="M217" s="1">
        <f>Tabla1[[#This Row],[venta_total]]-Tabla1[[#This Row],[costo_total]]</f>
        <v>549906</v>
      </c>
      <c r="N217" s="3">
        <f>Tabla1[[#This Row],[margen]]/Tabla1[[#This Row],[venta_total]]</f>
        <v>0.25</v>
      </c>
    </row>
    <row r="218" spans="1:14" x14ac:dyDescent="0.25">
      <c r="A218" s="2">
        <v>45337</v>
      </c>
      <c r="B218" t="s">
        <v>18</v>
      </c>
      <c r="C218" t="s">
        <v>11</v>
      </c>
      <c r="D218" t="s">
        <v>26</v>
      </c>
      <c r="E218" t="s">
        <v>16</v>
      </c>
      <c r="F218" t="s">
        <v>40</v>
      </c>
      <c r="G218">
        <v>1</v>
      </c>
      <c r="H218" s="1">
        <v>4451041</v>
      </c>
      <c r="I218" s="1">
        <v>3471811</v>
      </c>
      <c r="J218" t="s">
        <v>31</v>
      </c>
      <c r="K218" s="1">
        <f>Tabla1[[#This Row],[cantidad]]*Tabla1[[#This Row],[precio_unitario]]</f>
        <v>4451041</v>
      </c>
      <c r="L218" s="1">
        <f>Tabla1[[#This Row],[cantidad]]*Tabla1[[#This Row],[costo_unitario]]</f>
        <v>3471811</v>
      </c>
      <c r="M218" s="1">
        <f>Tabla1[[#This Row],[venta_total]]-Tabla1[[#This Row],[costo_total]]</f>
        <v>979230</v>
      </c>
      <c r="N218" s="3">
        <f>Tabla1[[#This Row],[margen]]/Tabla1[[#This Row],[venta_total]]</f>
        <v>0.22000022017321341</v>
      </c>
    </row>
    <row r="219" spans="1:14" x14ac:dyDescent="0.25">
      <c r="A219" s="2">
        <v>45308</v>
      </c>
      <c r="B219" t="s">
        <v>34</v>
      </c>
      <c r="C219" t="s">
        <v>11</v>
      </c>
      <c r="D219" t="s">
        <v>23</v>
      </c>
      <c r="E219" t="s">
        <v>16</v>
      </c>
      <c r="F219" t="s">
        <v>24</v>
      </c>
      <c r="G219">
        <v>1</v>
      </c>
      <c r="H219" s="1">
        <v>1686080</v>
      </c>
      <c r="I219" s="1">
        <v>1264560</v>
      </c>
      <c r="J219" t="s">
        <v>31</v>
      </c>
      <c r="K219" s="1">
        <f>Tabla1[[#This Row],[cantidad]]*Tabla1[[#This Row],[precio_unitario]]</f>
        <v>1686080</v>
      </c>
      <c r="L219" s="1">
        <f>Tabla1[[#This Row],[cantidad]]*Tabla1[[#This Row],[costo_unitario]]</f>
        <v>1264560</v>
      </c>
      <c r="M219" s="1">
        <f>Tabla1[[#This Row],[venta_total]]-Tabla1[[#This Row],[costo_total]]</f>
        <v>421520</v>
      </c>
      <c r="N219" s="3">
        <f>Tabla1[[#This Row],[margen]]/Tabla1[[#This Row],[venta_total]]</f>
        <v>0.25</v>
      </c>
    </row>
    <row r="220" spans="1:14" x14ac:dyDescent="0.25">
      <c r="A220" s="2">
        <v>45367</v>
      </c>
      <c r="B220" t="s">
        <v>10</v>
      </c>
      <c r="C220" t="s">
        <v>11</v>
      </c>
      <c r="D220" t="s">
        <v>23</v>
      </c>
      <c r="E220" t="s">
        <v>13</v>
      </c>
      <c r="F220" t="s">
        <v>28</v>
      </c>
      <c r="G220">
        <v>1</v>
      </c>
      <c r="H220" s="1">
        <v>2999373</v>
      </c>
      <c r="I220" s="1">
        <v>2399498</v>
      </c>
      <c r="J220" t="s">
        <v>15</v>
      </c>
      <c r="K220" s="1">
        <f>Tabla1[[#This Row],[cantidad]]*Tabla1[[#This Row],[precio_unitario]]</f>
        <v>2999373</v>
      </c>
      <c r="L220" s="1">
        <f>Tabla1[[#This Row],[cantidad]]*Tabla1[[#This Row],[costo_unitario]]</f>
        <v>2399498</v>
      </c>
      <c r="M220" s="1">
        <f>Tabla1[[#This Row],[venta_total]]-Tabla1[[#This Row],[costo_total]]</f>
        <v>599875</v>
      </c>
      <c r="N220" s="3">
        <f>Tabla1[[#This Row],[margen]]/Tabla1[[#This Row],[venta_total]]</f>
        <v>0.20000013336120581</v>
      </c>
    </row>
    <row r="221" spans="1:14" x14ac:dyDescent="0.25">
      <c r="A221" s="2">
        <v>45335</v>
      </c>
      <c r="B221" t="s">
        <v>32</v>
      </c>
      <c r="C221" t="s">
        <v>11</v>
      </c>
      <c r="D221" t="s">
        <v>38</v>
      </c>
      <c r="E221" t="s">
        <v>16</v>
      </c>
      <c r="F221" t="s">
        <v>39</v>
      </c>
      <c r="G221">
        <v>1</v>
      </c>
      <c r="H221" s="1">
        <v>5476253</v>
      </c>
      <c r="I221" s="1">
        <v>4107189</v>
      </c>
      <c r="J221" t="s">
        <v>15</v>
      </c>
      <c r="K221" s="1">
        <f>Tabla1[[#This Row],[cantidad]]*Tabla1[[#This Row],[precio_unitario]]</f>
        <v>5476253</v>
      </c>
      <c r="L221" s="1">
        <f>Tabla1[[#This Row],[cantidad]]*Tabla1[[#This Row],[costo_unitario]]</f>
        <v>4107189</v>
      </c>
      <c r="M221" s="1">
        <f>Tabla1[[#This Row],[venta_total]]-Tabla1[[#This Row],[costo_total]]</f>
        <v>1369064</v>
      </c>
      <c r="N221" s="3">
        <f>Tabla1[[#This Row],[margen]]/Tabla1[[#This Row],[venta_total]]</f>
        <v>0.2500001369549581</v>
      </c>
    </row>
    <row r="222" spans="1:14" x14ac:dyDescent="0.25">
      <c r="A222" s="2">
        <v>45414</v>
      </c>
      <c r="B222" t="s">
        <v>10</v>
      </c>
      <c r="C222" t="s">
        <v>11</v>
      </c>
      <c r="D222" t="s">
        <v>23</v>
      </c>
      <c r="E222" t="s">
        <v>20</v>
      </c>
      <c r="F222" t="s">
        <v>30</v>
      </c>
      <c r="G222">
        <v>1</v>
      </c>
      <c r="H222" s="1">
        <v>1288650</v>
      </c>
      <c r="I222" s="1">
        <v>902055</v>
      </c>
      <c r="J222" t="s">
        <v>29</v>
      </c>
      <c r="K222" s="1">
        <f>Tabla1[[#This Row],[cantidad]]*Tabla1[[#This Row],[precio_unitario]]</f>
        <v>1288650</v>
      </c>
      <c r="L222" s="1">
        <f>Tabla1[[#This Row],[cantidad]]*Tabla1[[#This Row],[costo_unitario]]</f>
        <v>902055</v>
      </c>
      <c r="M222" s="1">
        <f>Tabla1[[#This Row],[venta_total]]-Tabla1[[#This Row],[costo_total]]</f>
        <v>386595</v>
      </c>
      <c r="N222" s="3">
        <f>Tabla1[[#This Row],[margen]]/Tabla1[[#This Row],[venta_total]]</f>
        <v>0.3</v>
      </c>
    </row>
    <row r="223" spans="1:14" x14ac:dyDescent="0.25">
      <c r="A223" s="2">
        <v>45457</v>
      </c>
      <c r="B223" t="s">
        <v>18</v>
      </c>
      <c r="C223" t="s">
        <v>11</v>
      </c>
      <c r="D223" t="s">
        <v>23</v>
      </c>
      <c r="E223" t="s">
        <v>16</v>
      </c>
      <c r="F223" t="s">
        <v>24</v>
      </c>
      <c r="G223">
        <v>1</v>
      </c>
      <c r="H223" s="1">
        <v>1578495</v>
      </c>
      <c r="I223" s="1">
        <v>1183871</v>
      </c>
      <c r="J223" t="s">
        <v>22</v>
      </c>
      <c r="K223" s="1">
        <f>Tabla1[[#This Row],[cantidad]]*Tabla1[[#This Row],[precio_unitario]]</f>
        <v>1578495</v>
      </c>
      <c r="L223" s="1">
        <f>Tabla1[[#This Row],[cantidad]]*Tabla1[[#This Row],[costo_unitario]]</f>
        <v>1183871</v>
      </c>
      <c r="M223" s="1">
        <f>Tabla1[[#This Row],[venta_total]]-Tabla1[[#This Row],[costo_total]]</f>
        <v>394624</v>
      </c>
      <c r="N223" s="3">
        <f>Tabla1[[#This Row],[margen]]/Tabla1[[#This Row],[venta_total]]</f>
        <v>0.25000015837870881</v>
      </c>
    </row>
    <row r="224" spans="1:14" x14ac:dyDescent="0.25">
      <c r="A224" s="2">
        <v>45314</v>
      </c>
      <c r="B224" t="s">
        <v>34</v>
      </c>
      <c r="C224" t="s">
        <v>11</v>
      </c>
      <c r="D224" t="s">
        <v>23</v>
      </c>
      <c r="E224" t="s">
        <v>13</v>
      </c>
      <c r="F224" t="s">
        <v>28</v>
      </c>
      <c r="G224">
        <v>1</v>
      </c>
      <c r="H224" s="1">
        <v>2700777</v>
      </c>
      <c r="I224" s="1">
        <v>2160621</v>
      </c>
      <c r="J224" t="s">
        <v>31</v>
      </c>
      <c r="K224" s="1">
        <f>Tabla1[[#This Row],[cantidad]]*Tabla1[[#This Row],[precio_unitario]]</f>
        <v>2700777</v>
      </c>
      <c r="L224" s="1">
        <f>Tabla1[[#This Row],[cantidad]]*Tabla1[[#This Row],[costo_unitario]]</f>
        <v>2160621</v>
      </c>
      <c r="M224" s="1">
        <f>Tabla1[[#This Row],[venta_total]]-Tabla1[[#This Row],[costo_total]]</f>
        <v>540156</v>
      </c>
      <c r="N224" s="3">
        <f>Tabla1[[#This Row],[margen]]/Tabla1[[#This Row],[venta_total]]</f>
        <v>0.20000022215829</v>
      </c>
    </row>
    <row r="225" spans="1:14" x14ac:dyDescent="0.25">
      <c r="A225" s="2">
        <v>45342</v>
      </c>
      <c r="B225" t="s">
        <v>10</v>
      </c>
      <c r="C225" t="s">
        <v>11</v>
      </c>
      <c r="D225" t="s">
        <v>12</v>
      </c>
      <c r="E225" t="s">
        <v>13</v>
      </c>
      <c r="F225" t="s">
        <v>14</v>
      </c>
      <c r="G225">
        <v>1</v>
      </c>
      <c r="H225" s="1">
        <v>4869733</v>
      </c>
      <c r="I225" s="1">
        <v>3895786</v>
      </c>
      <c r="J225" t="s">
        <v>31</v>
      </c>
      <c r="K225" s="1">
        <f>Tabla1[[#This Row],[cantidad]]*Tabla1[[#This Row],[precio_unitario]]</f>
        <v>4869733</v>
      </c>
      <c r="L225" s="1">
        <f>Tabla1[[#This Row],[cantidad]]*Tabla1[[#This Row],[costo_unitario]]</f>
        <v>3895786</v>
      </c>
      <c r="M225" s="1">
        <f>Tabla1[[#This Row],[venta_total]]-Tabla1[[#This Row],[costo_total]]</f>
        <v>973947</v>
      </c>
      <c r="N225" s="3">
        <f>Tabla1[[#This Row],[margen]]/Tabla1[[#This Row],[venta_total]]</f>
        <v>0.20000008214002699</v>
      </c>
    </row>
    <row r="226" spans="1:14" x14ac:dyDescent="0.25">
      <c r="A226" s="2">
        <v>45319</v>
      </c>
      <c r="B226" t="s">
        <v>34</v>
      </c>
      <c r="C226" t="s">
        <v>11</v>
      </c>
      <c r="D226" t="s">
        <v>12</v>
      </c>
      <c r="E226" t="s">
        <v>20</v>
      </c>
      <c r="F226" t="s">
        <v>37</v>
      </c>
      <c r="G226">
        <v>1</v>
      </c>
      <c r="H226" s="1">
        <v>2285511</v>
      </c>
      <c r="I226" s="1">
        <v>1714133</v>
      </c>
      <c r="J226" t="s">
        <v>25</v>
      </c>
      <c r="K226" s="1">
        <f>Tabla1[[#This Row],[cantidad]]*Tabla1[[#This Row],[precio_unitario]]</f>
        <v>2285511</v>
      </c>
      <c r="L226" s="1">
        <f>Tabla1[[#This Row],[cantidad]]*Tabla1[[#This Row],[costo_unitario]]</f>
        <v>1714133</v>
      </c>
      <c r="M226" s="1">
        <f>Tabla1[[#This Row],[venta_total]]-Tabla1[[#This Row],[costo_total]]</f>
        <v>571378</v>
      </c>
      <c r="N226" s="3">
        <f>Tabla1[[#This Row],[margen]]/Tabla1[[#This Row],[venta_total]]</f>
        <v>0.25000010938472839</v>
      </c>
    </row>
    <row r="227" spans="1:14" x14ac:dyDescent="0.25">
      <c r="A227" s="2">
        <v>45295</v>
      </c>
      <c r="B227" t="s">
        <v>10</v>
      </c>
      <c r="C227" t="s">
        <v>11</v>
      </c>
      <c r="D227" t="s">
        <v>12</v>
      </c>
      <c r="E227" t="s">
        <v>16</v>
      </c>
      <c r="F227" t="s">
        <v>17</v>
      </c>
      <c r="G227">
        <v>1</v>
      </c>
      <c r="H227" s="1">
        <v>3553080</v>
      </c>
      <c r="I227" s="1">
        <v>2771402</v>
      </c>
      <c r="J227" t="s">
        <v>25</v>
      </c>
      <c r="K227" s="1">
        <f>Tabla1[[#This Row],[cantidad]]*Tabla1[[#This Row],[precio_unitario]]</f>
        <v>3553080</v>
      </c>
      <c r="L227" s="1">
        <f>Tabla1[[#This Row],[cantidad]]*Tabla1[[#This Row],[costo_unitario]]</f>
        <v>2771402</v>
      </c>
      <c r="M227" s="1">
        <f>Tabla1[[#This Row],[venta_total]]-Tabla1[[#This Row],[costo_total]]</f>
        <v>781678</v>
      </c>
      <c r="N227" s="3">
        <f>Tabla1[[#This Row],[margen]]/Tabla1[[#This Row],[venta_total]]</f>
        <v>0.2200001125783827</v>
      </c>
    </row>
    <row r="228" spans="1:14" x14ac:dyDescent="0.25">
      <c r="A228" s="2">
        <v>45387</v>
      </c>
      <c r="B228" t="s">
        <v>32</v>
      </c>
      <c r="C228" t="s">
        <v>11</v>
      </c>
      <c r="D228" t="s">
        <v>23</v>
      </c>
      <c r="E228" t="s">
        <v>16</v>
      </c>
      <c r="F228" t="s">
        <v>24</v>
      </c>
      <c r="G228">
        <v>1</v>
      </c>
      <c r="H228" s="1">
        <v>1425409</v>
      </c>
      <c r="I228" s="1">
        <v>1069056</v>
      </c>
      <c r="J228" t="s">
        <v>29</v>
      </c>
      <c r="K228" s="1">
        <f>Tabla1[[#This Row],[cantidad]]*Tabla1[[#This Row],[precio_unitario]]</f>
        <v>1425409</v>
      </c>
      <c r="L228" s="1">
        <f>Tabla1[[#This Row],[cantidad]]*Tabla1[[#This Row],[costo_unitario]]</f>
        <v>1069056</v>
      </c>
      <c r="M228" s="1">
        <f>Tabla1[[#This Row],[venta_total]]-Tabla1[[#This Row],[costo_total]]</f>
        <v>356353</v>
      </c>
      <c r="N228" s="3">
        <f>Tabla1[[#This Row],[margen]]/Tabla1[[#This Row],[venta_total]]</f>
        <v>0.25000052616477098</v>
      </c>
    </row>
    <row r="229" spans="1:14" x14ac:dyDescent="0.25">
      <c r="A229" s="2">
        <v>45356</v>
      </c>
      <c r="B229" t="s">
        <v>18</v>
      </c>
      <c r="C229" t="s">
        <v>11</v>
      </c>
      <c r="D229" t="s">
        <v>19</v>
      </c>
      <c r="E229" t="s">
        <v>13</v>
      </c>
      <c r="F229" t="s">
        <v>33</v>
      </c>
      <c r="G229">
        <v>2</v>
      </c>
      <c r="H229" s="1">
        <v>1386752</v>
      </c>
      <c r="I229" s="1">
        <v>970726</v>
      </c>
      <c r="J229" t="s">
        <v>25</v>
      </c>
      <c r="K229" s="1">
        <f>Tabla1[[#This Row],[cantidad]]*Tabla1[[#This Row],[precio_unitario]]</f>
        <v>2773504</v>
      </c>
      <c r="L229" s="1">
        <f>Tabla1[[#This Row],[cantidad]]*Tabla1[[#This Row],[costo_unitario]]</f>
        <v>1941452</v>
      </c>
      <c r="M229" s="1">
        <f>Tabla1[[#This Row],[venta_total]]-Tabla1[[#This Row],[costo_total]]</f>
        <v>832052</v>
      </c>
      <c r="N229" s="3">
        <f>Tabla1[[#This Row],[margen]]/Tabla1[[#This Row],[venta_total]]</f>
        <v>0.30000028844378807</v>
      </c>
    </row>
    <row r="230" spans="1:14" x14ac:dyDescent="0.25">
      <c r="A230" s="2">
        <v>45393</v>
      </c>
      <c r="B230" t="s">
        <v>32</v>
      </c>
      <c r="C230" t="s">
        <v>11</v>
      </c>
      <c r="D230" t="s">
        <v>12</v>
      </c>
      <c r="E230" t="s">
        <v>20</v>
      </c>
      <c r="F230" t="s">
        <v>37</v>
      </c>
      <c r="G230">
        <v>1</v>
      </c>
      <c r="H230" s="1">
        <v>2536001</v>
      </c>
      <c r="I230" s="1">
        <v>1902000</v>
      </c>
      <c r="J230" t="s">
        <v>15</v>
      </c>
      <c r="K230" s="1">
        <f>Tabla1[[#This Row],[cantidad]]*Tabla1[[#This Row],[precio_unitario]]</f>
        <v>2536001</v>
      </c>
      <c r="L230" s="1">
        <f>Tabla1[[#This Row],[cantidad]]*Tabla1[[#This Row],[costo_unitario]]</f>
        <v>1902000</v>
      </c>
      <c r="M230" s="1">
        <f>Tabla1[[#This Row],[venta_total]]-Tabla1[[#This Row],[costo_total]]</f>
        <v>634001</v>
      </c>
      <c r="N230" s="3">
        <f>Tabla1[[#This Row],[margen]]/Tabla1[[#This Row],[venta_total]]</f>
        <v>0.2500002957412083</v>
      </c>
    </row>
    <row r="231" spans="1:14" x14ac:dyDescent="0.25">
      <c r="A231" s="2">
        <v>45349</v>
      </c>
      <c r="B231" t="s">
        <v>10</v>
      </c>
      <c r="C231" t="s">
        <v>11</v>
      </c>
      <c r="D231" t="s">
        <v>12</v>
      </c>
      <c r="E231" t="s">
        <v>16</v>
      </c>
      <c r="F231" t="s">
        <v>17</v>
      </c>
      <c r="G231">
        <v>1</v>
      </c>
      <c r="H231" s="1">
        <v>3507175</v>
      </c>
      <c r="I231" s="1">
        <v>2735596</v>
      </c>
      <c r="J231" t="s">
        <v>22</v>
      </c>
      <c r="K231" s="1">
        <f>Tabla1[[#This Row],[cantidad]]*Tabla1[[#This Row],[precio_unitario]]</f>
        <v>3507175</v>
      </c>
      <c r="L231" s="1">
        <f>Tabla1[[#This Row],[cantidad]]*Tabla1[[#This Row],[costo_unitario]]</f>
        <v>2735596</v>
      </c>
      <c r="M231" s="1">
        <f>Tabla1[[#This Row],[venta_total]]-Tabla1[[#This Row],[costo_total]]</f>
        <v>771579</v>
      </c>
      <c r="N231" s="3">
        <f>Tabla1[[#This Row],[margen]]/Tabla1[[#This Row],[venta_total]]</f>
        <v>0.22000014256488484</v>
      </c>
    </row>
    <row r="232" spans="1:14" x14ac:dyDescent="0.25">
      <c r="A232" s="2">
        <v>45356</v>
      </c>
      <c r="B232" t="s">
        <v>32</v>
      </c>
      <c r="C232" t="s">
        <v>11</v>
      </c>
      <c r="D232" t="s">
        <v>38</v>
      </c>
      <c r="E232" t="s">
        <v>20</v>
      </c>
      <c r="F232" t="s">
        <v>42</v>
      </c>
      <c r="G232">
        <v>1</v>
      </c>
      <c r="H232" s="1">
        <v>3413385</v>
      </c>
      <c r="I232" s="1">
        <v>2457637</v>
      </c>
      <c r="J232" t="s">
        <v>15</v>
      </c>
      <c r="K232" s="1">
        <f>Tabla1[[#This Row],[cantidad]]*Tabla1[[#This Row],[precio_unitario]]</f>
        <v>3413385</v>
      </c>
      <c r="L232" s="1">
        <f>Tabla1[[#This Row],[cantidad]]*Tabla1[[#This Row],[costo_unitario]]</f>
        <v>2457637</v>
      </c>
      <c r="M232" s="1">
        <f>Tabla1[[#This Row],[venta_total]]-Tabla1[[#This Row],[costo_total]]</f>
        <v>955748</v>
      </c>
      <c r="N232" s="3">
        <f>Tabla1[[#This Row],[margen]]/Tabla1[[#This Row],[venta_total]]</f>
        <v>0.28000005859286309</v>
      </c>
    </row>
    <row r="233" spans="1:14" x14ac:dyDescent="0.25">
      <c r="A233" s="2">
        <v>45322</v>
      </c>
      <c r="B233" t="s">
        <v>32</v>
      </c>
      <c r="C233" t="s">
        <v>11</v>
      </c>
      <c r="D233" t="s">
        <v>12</v>
      </c>
      <c r="E233" t="s">
        <v>20</v>
      </c>
      <c r="F233" t="s">
        <v>37</v>
      </c>
      <c r="G233">
        <v>1</v>
      </c>
      <c r="H233" s="1">
        <v>1912905</v>
      </c>
      <c r="I233" s="1">
        <v>1434678</v>
      </c>
      <c r="J233" t="s">
        <v>22</v>
      </c>
      <c r="K233" s="1">
        <f>Tabla1[[#This Row],[cantidad]]*Tabla1[[#This Row],[precio_unitario]]</f>
        <v>1912905</v>
      </c>
      <c r="L233" s="1">
        <f>Tabla1[[#This Row],[cantidad]]*Tabla1[[#This Row],[costo_unitario]]</f>
        <v>1434678</v>
      </c>
      <c r="M233" s="1">
        <f>Tabla1[[#This Row],[venta_total]]-Tabla1[[#This Row],[costo_total]]</f>
        <v>478227</v>
      </c>
      <c r="N233" s="3">
        <f>Tabla1[[#This Row],[margen]]/Tabla1[[#This Row],[venta_total]]</f>
        <v>0.25000039207383534</v>
      </c>
    </row>
    <row r="234" spans="1:14" x14ac:dyDescent="0.25">
      <c r="A234" s="2">
        <v>45434</v>
      </c>
      <c r="B234" t="s">
        <v>18</v>
      </c>
      <c r="C234" t="s">
        <v>11</v>
      </c>
      <c r="D234" t="s">
        <v>26</v>
      </c>
      <c r="E234" t="s">
        <v>20</v>
      </c>
      <c r="F234" t="s">
        <v>36</v>
      </c>
      <c r="G234">
        <v>1</v>
      </c>
      <c r="H234" s="1">
        <v>2613259</v>
      </c>
      <c r="I234" s="1">
        <v>1959944</v>
      </c>
      <c r="J234" t="s">
        <v>22</v>
      </c>
      <c r="K234" s="1">
        <f>Tabla1[[#This Row],[cantidad]]*Tabla1[[#This Row],[precio_unitario]]</f>
        <v>2613259</v>
      </c>
      <c r="L234" s="1">
        <f>Tabla1[[#This Row],[cantidad]]*Tabla1[[#This Row],[costo_unitario]]</f>
        <v>1959944</v>
      </c>
      <c r="M234" s="1">
        <f>Tabla1[[#This Row],[venta_total]]-Tabla1[[#This Row],[costo_total]]</f>
        <v>653315</v>
      </c>
      <c r="N234" s="3">
        <f>Tabla1[[#This Row],[margen]]/Tabla1[[#This Row],[venta_total]]</f>
        <v>0.25000009566598641</v>
      </c>
    </row>
    <row r="235" spans="1:14" x14ac:dyDescent="0.25">
      <c r="A235" s="2">
        <v>45293</v>
      </c>
      <c r="B235" t="s">
        <v>10</v>
      </c>
      <c r="C235" t="s">
        <v>11</v>
      </c>
      <c r="D235" t="s">
        <v>19</v>
      </c>
      <c r="E235" t="s">
        <v>16</v>
      </c>
      <c r="F235" t="s">
        <v>35</v>
      </c>
      <c r="G235">
        <v>2</v>
      </c>
      <c r="H235" s="1">
        <v>1042779</v>
      </c>
      <c r="I235" s="1">
        <v>677806</v>
      </c>
      <c r="J235" t="s">
        <v>22</v>
      </c>
      <c r="K235" s="1">
        <f>Tabla1[[#This Row],[cantidad]]*Tabla1[[#This Row],[precio_unitario]]</f>
        <v>2085558</v>
      </c>
      <c r="L235" s="1">
        <f>Tabla1[[#This Row],[cantidad]]*Tabla1[[#This Row],[costo_unitario]]</f>
        <v>1355612</v>
      </c>
      <c r="M235" s="1">
        <f>Tabla1[[#This Row],[venta_total]]-Tabla1[[#This Row],[costo_total]]</f>
        <v>729946</v>
      </c>
      <c r="N235" s="3">
        <f>Tabla1[[#This Row],[margen]]/Tabla1[[#This Row],[venta_total]]</f>
        <v>0.3500003356415885</v>
      </c>
    </row>
    <row r="236" spans="1:14" x14ac:dyDescent="0.25">
      <c r="A236" s="2">
        <v>45452</v>
      </c>
      <c r="B236" t="s">
        <v>10</v>
      </c>
      <c r="C236" t="s">
        <v>11</v>
      </c>
      <c r="D236" t="s">
        <v>12</v>
      </c>
      <c r="E236" t="s">
        <v>16</v>
      </c>
      <c r="F236" t="s">
        <v>17</v>
      </c>
      <c r="G236">
        <v>1</v>
      </c>
      <c r="H236" s="1">
        <v>3257378</v>
      </c>
      <c r="I236" s="1">
        <v>2540754</v>
      </c>
      <c r="J236" t="s">
        <v>25</v>
      </c>
      <c r="K236" s="1">
        <f>Tabla1[[#This Row],[cantidad]]*Tabla1[[#This Row],[precio_unitario]]</f>
        <v>3257378</v>
      </c>
      <c r="L236" s="1">
        <f>Tabla1[[#This Row],[cantidad]]*Tabla1[[#This Row],[costo_unitario]]</f>
        <v>2540754</v>
      </c>
      <c r="M236" s="1">
        <f>Tabla1[[#This Row],[venta_total]]-Tabla1[[#This Row],[costo_total]]</f>
        <v>716624</v>
      </c>
      <c r="N236" s="3">
        <f>Tabla1[[#This Row],[margen]]/Tabla1[[#This Row],[venta_total]]</f>
        <v>0.22000025787611999</v>
      </c>
    </row>
    <row r="237" spans="1:14" x14ac:dyDescent="0.25">
      <c r="A237" s="2">
        <v>45300</v>
      </c>
      <c r="B237" t="s">
        <v>10</v>
      </c>
      <c r="C237" t="s">
        <v>11</v>
      </c>
      <c r="D237" t="s">
        <v>38</v>
      </c>
      <c r="E237" t="s">
        <v>20</v>
      </c>
      <c r="F237" t="s">
        <v>42</v>
      </c>
      <c r="G237">
        <v>1</v>
      </c>
      <c r="H237" s="1">
        <v>3020698</v>
      </c>
      <c r="I237" s="1">
        <v>2174902</v>
      </c>
      <c r="J237" t="s">
        <v>31</v>
      </c>
      <c r="K237" s="1">
        <f>Tabla1[[#This Row],[cantidad]]*Tabla1[[#This Row],[precio_unitario]]</f>
        <v>3020698</v>
      </c>
      <c r="L237" s="1">
        <f>Tabla1[[#This Row],[cantidad]]*Tabla1[[#This Row],[costo_unitario]]</f>
        <v>2174902</v>
      </c>
      <c r="M237" s="1">
        <f>Tabla1[[#This Row],[venta_total]]-Tabla1[[#This Row],[costo_total]]</f>
        <v>845796</v>
      </c>
      <c r="N237" s="3">
        <f>Tabla1[[#This Row],[margen]]/Tabla1[[#This Row],[venta_total]]</f>
        <v>0.28000018538761573</v>
      </c>
    </row>
    <row r="238" spans="1:14" x14ac:dyDescent="0.25">
      <c r="A238" s="2">
        <v>45368</v>
      </c>
      <c r="B238" t="s">
        <v>32</v>
      </c>
      <c r="C238" t="s">
        <v>11</v>
      </c>
      <c r="D238" t="s">
        <v>23</v>
      </c>
      <c r="E238" t="s">
        <v>13</v>
      </c>
      <c r="F238" t="s">
        <v>28</v>
      </c>
      <c r="G238">
        <v>1</v>
      </c>
      <c r="H238" s="1">
        <v>2998487</v>
      </c>
      <c r="I238" s="1">
        <v>2398789</v>
      </c>
      <c r="J238" t="s">
        <v>31</v>
      </c>
      <c r="K238" s="1">
        <f>Tabla1[[#This Row],[cantidad]]*Tabla1[[#This Row],[precio_unitario]]</f>
        <v>2998487</v>
      </c>
      <c r="L238" s="1">
        <f>Tabla1[[#This Row],[cantidad]]*Tabla1[[#This Row],[costo_unitario]]</f>
        <v>2398789</v>
      </c>
      <c r="M238" s="1">
        <f>Tabla1[[#This Row],[venta_total]]-Tabla1[[#This Row],[costo_total]]</f>
        <v>599698</v>
      </c>
      <c r="N238" s="3">
        <f>Tabla1[[#This Row],[margen]]/Tabla1[[#This Row],[venta_total]]</f>
        <v>0.20000020010091757</v>
      </c>
    </row>
    <row r="239" spans="1:14" x14ac:dyDescent="0.25">
      <c r="A239" s="2">
        <v>45307</v>
      </c>
      <c r="B239" t="s">
        <v>34</v>
      </c>
      <c r="C239" t="s">
        <v>11</v>
      </c>
      <c r="D239" t="s">
        <v>12</v>
      </c>
      <c r="E239" t="s">
        <v>16</v>
      </c>
      <c r="F239" t="s">
        <v>17</v>
      </c>
      <c r="G239">
        <v>1</v>
      </c>
      <c r="H239" s="1">
        <v>3141752</v>
      </c>
      <c r="I239" s="1">
        <v>2450566</v>
      </c>
      <c r="J239" t="s">
        <v>22</v>
      </c>
      <c r="K239" s="1">
        <f>Tabla1[[#This Row],[cantidad]]*Tabla1[[#This Row],[precio_unitario]]</f>
        <v>3141752</v>
      </c>
      <c r="L239" s="1">
        <f>Tabla1[[#This Row],[cantidad]]*Tabla1[[#This Row],[costo_unitario]]</f>
        <v>2450566</v>
      </c>
      <c r="M239" s="1">
        <f>Tabla1[[#This Row],[venta_total]]-Tabla1[[#This Row],[costo_total]]</f>
        <v>691186</v>
      </c>
      <c r="N239" s="3">
        <f>Tabla1[[#This Row],[margen]]/Tabla1[[#This Row],[venta_total]]</f>
        <v>0.22000017824449541</v>
      </c>
    </row>
    <row r="240" spans="1:14" x14ac:dyDescent="0.25">
      <c r="A240" s="2">
        <v>45371</v>
      </c>
      <c r="B240" t="s">
        <v>32</v>
      </c>
      <c r="C240" t="s">
        <v>11</v>
      </c>
      <c r="D240" t="s">
        <v>26</v>
      </c>
      <c r="E240" t="s">
        <v>13</v>
      </c>
      <c r="F240" t="s">
        <v>27</v>
      </c>
      <c r="G240">
        <v>1</v>
      </c>
      <c r="H240" s="1">
        <v>5906655</v>
      </c>
      <c r="I240" s="1">
        <v>4725324</v>
      </c>
      <c r="J240" t="s">
        <v>15</v>
      </c>
      <c r="K240" s="1">
        <f>Tabla1[[#This Row],[cantidad]]*Tabla1[[#This Row],[precio_unitario]]</f>
        <v>5906655</v>
      </c>
      <c r="L240" s="1">
        <f>Tabla1[[#This Row],[cantidad]]*Tabla1[[#This Row],[costo_unitario]]</f>
        <v>4725324</v>
      </c>
      <c r="M240" s="1">
        <f>Tabla1[[#This Row],[venta_total]]-Tabla1[[#This Row],[costo_total]]</f>
        <v>1181331</v>
      </c>
      <c r="N240" s="3">
        <f>Tabla1[[#This Row],[margen]]/Tabla1[[#This Row],[venta_total]]</f>
        <v>0.2</v>
      </c>
    </row>
    <row r="241" spans="1:14" x14ac:dyDescent="0.25">
      <c r="A241" s="2">
        <v>45375</v>
      </c>
      <c r="B241" t="s">
        <v>10</v>
      </c>
      <c r="C241" t="s">
        <v>11</v>
      </c>
      <c r="D241" t="s">
        <v>23</v>
      </c>
      <c r="E241" t="s">
        <v>20</v>
      </c>
      <c r="F241" t="s">
        <v>30</v>
      </c>
      <c r="G241">
        <v>1</v>
      </c>
      <c r="H241" s="1">
        <v>941591</v>
      </c>
      <c r="I241" s="1">
        <v>659113</v>
      </c>
      <c r="J241" t="s">
        <v>29</v>
      </c>
      <c r="K241" s="1">
        <f>Tabla1[[#This Row],[cantidad]]*Tabla1[[#This Row],[precio_unitario]]</f>
        <v>941591</v>
      </c>
      <c r="L241" s="1">
        <f>Tabla1[[#This Row],[cantidad]]*Tabla1[[#This Row],[costo_unitario]]</f>
        <v>659113</v>
      </c>
      <c r="M241" s="1">
        <f>Tabla1[[#This Row],[venta_total]]-Tabla1[[#This Row],[costo_total]]</f>
        <v>282478</v>
      </c>
      <c r="N241" s="3">
        <f>Tabla1[[#This Row],[margen]]/Tabla1[[#This Row],[venta_total]]</f>
        <v>0.30000074342256883</v>
      </c>
    </row>
    <row r="242" spans="1:14" x14ac:dyDescent="0.25">
      <c r="A242" s="2">
        <v>45382</v>
      </c>
      <c r="B242" t="s">
        <v>10</v>
      </c>
      <c r="C242" t="s">
        <v>11</v>
      </c>
      <c r="D242" t="s">
        <v>12</v>
      </c>
      <c r="E242" t="s">
        <v>13</v>
      </c>
      <c r="F242" t="s">
        <v>14</v>
      </c>
      <c r="G242">
        <v>1</v>
      </c>
      <c r="H242" s="1">
        <v>4964800</v>
      </c>
      <c r="I242" s="1">
        <v>3971840</v>
      </c>
      <c r="J242" t="s">
        <v>15</v>
      </c>
      <c r="K242" s="1">
        <f>Tabla1[[#This Row],[cantidad]]*Tabla1[[#This Row],[precio_unitario]]</f>
        <v>4964800</v>
      </c>
      <c r="L242" s="1">
        <f>Tabla1[[#This Row],[cantidad]]*Tabla1[[#This Row],[costo_unitario]]</f>
        <v>3971840</v>
      </c>
      <c r="M242" s="1">
        <f>Tabla1[[#This Row],[venta_total]]-Tabla1[[#This Row],[costo_total]]</f>
        <v>992960</v>
      </c>
      <c r="N242" s="3">
        <f>Tabla1[[#This Row],[margen]]/Tabla1[[#This Row],[venta_total]]</f>
        <v>0.2</v>
      </c>
    </row>
    <row r="243" spans="1:14" x14ac:dyDescent="0.25">
      <c r="A243" s="2">
        <v>45408</v>
      </c>
      <c r="B243" t="s">
        <v>34</v>
      </c>
      <c r="C243" t="s">
        <v>11</v>
      </c>
      <c r="D243" t="s">
        <v>38</v>
      </c>
      <c r="E243" t="s">
        <v>16</v>
      </c>
      <c r="F243" t="s">
        <v>39</v>
      </c>
      <c r="G243">
        <v>1</v>
      </c>
      <c r="H243" s="1">
        <v>4208304</v>
      </c>
      <c r="I243" s="1">
        <v>3156228</v>
      </c>
      <c r="J243" t="s">
        <v>25</v>
      </c>
      <c r="K243" s="1">
        <f>Tabla1[[#This Row],[cantidad]]*Tabla1[[#This Row],[precio_unitario]]</f>
        <v>4208304</v>
      </c>
      <c r="L243" s="1">
        <f>Tabla1[[#This Row],[cantidad]]*Tabla1[[#This Row],[costo_unitario]]</f>
        <v>3156228</v>
      </c>
      <c r="M243" s="1">
        <f>Tabla1[[#This Row],[venta_total]]-Tabla1[[#This Row],[costo_total]]</f>
        <v>1052076</v>
      </c>
      <c r="N243" s="3">
        <f>Tabla1[[#This Row],[margen]]/Tabla1[[#This Row],[venta_total]]</f>
        <v>0.25</v>
      </c>
    </row>
    <row r="244" spans="1:14" x14ac:dyDescent="0.25">
      <c r="A244" s="2">
        <v>45378</v>
      </c>
      <c r="B244" t="s">
        <v>18</v>
      </c>
      <c r="C244" t="s">
        <v>11</v>
      </c>
      <c r="D244" t="s">
        <v>23</v>
      </c>
      <c r="E244" t="s">
        <v>16</v>
      </c>
      <c r="F244" t="s">
        <v>24</v>
      </c>
      <c r="G244">
        <v>1</v>
      </c>
      <c r="H244" s="1">
        <v>1877568</v>
      </c>
      <c r="I244" s="1">
        <v>1408176</v>
      </c>
      <c r="J244" t="s">
        <v>15</v>
      </c>
      <c r="K244" s="1">
        <f>Tabla1[[#This Row],[cantidad]]*Tabla1[[#This Row],[precio_unitario]]</f>
        <v>1877568</v>
      </c>
      <c r="L244" s="1">
        <f>Tabla1[[#This Row],[cantidad]]*Tabla1[[#This Row],[costo_unitario]]</f>
        <v>1408176</v>
      </c>
      <c r="M244" s="1">
        <f>Tabla1[[#This Row],[venta_total]]-Tabla1[[#This Row],[costo_total]]</f>
        <v>469392</v>
      </c>
      <c r="N244" s="3">
        <f>Tabla1[[#This Row],[margen]]/Tabla1[[#This Row],[venta_total]]</f>
        <v>0.25</v>
      </c>
    </row>
    <row r="245" spans="1:14" x14ac:dyDescent="0.25">
      <c r="A245" s="2">
        <v>45412</v>
      </c>
      <c r="B245" t="s">
        <v>32</v>
      </c>
      <c r="C245" t="s">
        <v>11</v>
      </c>
      <c r="D245" t="s">
        <v>26</v>
      </c>
      <c r="E245" t="s">
        <v>20</v>
      </c>
      <c r="F245" t="s">
        <v>36</v>
      </c>
      <c r="G245">
        <v>1</v>
      </c>
      <c r="H245" s="1">
        <v>2558899</v>
      </c>
      <c r="I245" s="1">
        <v>1919174</v>
      </c>
      <c r="J245" t="s">
        <v>31</v>
      </c>
      <c r="K245" s="1">
        <f>Tabla1[[#This Row],[cantidad]]*Tabla1[[#This Row],[precio_unitario]]</f>
        <v>2558899</v>
      </c>
      <c r="L245" s="1">
        <f>Tabla1[[#This Row],[cantidad]]*Tabla1[[#This Row],[costo_unitario]]</f>
        <v>1919174</v>
      </c>
      <c r="M245" s="1">
        <f>Tabla1[[#This Row],[venta_total]]-Tabla1[[#This Row],[costo_total]]</f>
        <v>639725</v>
      </c>
      <c r="N245" s="3">
        <f>Tabla1[[#This Row],[margen]]/Tabla1[[#This Row],[venta_total]]</f>
        <v>0.25000009769826786</v>
      </c>
    </row>
    <row r="246" spans="1:14" x14ac:dyDescent="0.25">
      <c r="A246" s="2">
        <v>45452</v>
      </c>
      <c r="B246" t="s">
        <v>18</v>
      </c>
      <c r="C246" t="s">
        <v>11</v>
      </c>
      <c r="D246" t="s">
        <v>12</v>
      </c>
      <c r="E246" t="s">
        <v>20</v>
      </c>
      <c r="F246" t="s">
        <v>37</v>
      </c>
      <c r="G246">
        <v>1</v>
      </c>
      <c r="H246" s="1">
        <v>2704848</v>
      </c>
      <c r="I246" s="1">
        <v>2028636</v>
      </c>
      <c r="J246" t="s">
        <v>25</v>
      </c>
      <c r="K246" s="1">
        <f>Tabla1[[#This Row],[cantidad]]*Tabla1[[#This Row],[precio_unitario]]</f>
        <v>2704848</v>
      </c>
      <c r="L246" s="1">
        <f>Tabla1[[#This Row],[cantidad]]*Tabla1[[#This Row],[costo_unitario]]</f>
        <v>2028636</v>
      </c>
      <c r="M246" s="1">
        <f>Tabla1[[#This Row],[venta_total]]-Tabla1[[#This Row],[costo_total]]</f>
        <v>676212</v>
      </c>
      <c r="N246" s="3">
        <f>Tabla1[[#This Row],[margen]]/Tabla1[[#This Row],[venta_total]]</f>
        <v>0.25</v>
      </c>
    </row>
    <row r="247" spans="1:14" x14ac:dyDescent="0.25">
      <c r="A247" s="2">
        <v>45446</v>
      </c>
      <c r="B247" t="s">
        <v>32</v>
      </c>
      <c r="C247" t="s">
        <v>11</v>
      </c>
      <c r="D247" t="s">
        <v>26</v>
      </c>
      <c r="E247" t="s">
        <v>20</v>
      </c>
      <c r="F247" t="s">
        <v>36</v>
      </c>
      <c r="G247">
        <v>1</v>
      </c>
      <c r="H247" s="1">
        <v>2711515</v>
      </c>
      <c r="I247" s="1">
        <v>2033636</v>
      </c>
      <c r="J247" t="s">
        <v>22</v>
      </c>
      <c r="K247" s="1">
        <f>Tabla1[[#This Row],[cantidad]]*Tabla1[[#This Row],[precio_unitario]]</f>
        <v>2711515</v>
      </c>
      <c r="L247" s="1">
        <f>Tabla1[[#This Row],[cantidad]]*Tabla1[[#This Row],[costo_unitario]]</f>
        <v>2033636</v>
      </c>
      <c r="M247" s="1">
        <f>Tabla1[[#This Row],[venta_total]]-Tabla1[[#This Row],[costo_total]]</f>
        <v>677879</v>
      </c>
      <c r="N247" s="3">
        <f>Tabla1[[#This Row],[margen]]/Tabla1[[#This Row],[venta_total]]</f>
        <v>0.2500000921993793</v>
      </c>
    </row>
    <row r="248" spans="1:14" x14ac:dyDescent="0.25">
      <c r="A248" s="2">
        <v>45304</v>
      </c>
      <c r="B248" t="s">
        <v>32</v>
      </c>
      <c r="C248" t="s">
        <v>11</v>
      </c>
      <c r="D248" t="s">
        <v>19</v>
      </c>
      <c r="E248" t="s">
        <v>20</v>
      </c>
      <c r="F248" t="s">
        <v>21</v>
      </c>
      <c r="G248">
        <v>3</v>
      </c>
      <c r="H248" s="1">
        <v>554671</v>
      </c>
      <c r="I248" s="1">
        <v>332802</v>
      </c>
      <c r="J248" t="s">
        <v>29</v>
      </c>
      <c r="K248" s="1">
        <f>Tabla1[[#This Row],[cantidad]]*Tabla1[[#This Row],[precio_unitario]]</f>
        <v>1664013</v>
      </c>
      <c r="L248" s="1">
        <f>Tabla1[[#This Row],[cantidad]]*Tabla1[[#This Row],[costo_unitario]]</f>
        <v>998406</v>
      </c>
      <c r="M248" s="1">
        <f>Tabla1[[#This Row],[venta_total]]-Tabla1[[#This Row],[costo_total]]</f>
        <v>665607</v>
      </c>
      <c r="N248" s="3">
        <f>Tabla1[[#This Row],[margen]]/Tabla1[[#This Row],[venta_total]]</f>
        <v>0.4000010817223183</v>
      </c>
    </row>
    <row r="249" spans="1:14" x14ac:dyDescent="0.25">
      <c r="A249" s="2">
        <v>45389</v>
      </c>
      <c r="B249" t="s">
        <v>10</v>
      </c>
      <c r="C249" t="s">
        <v>11</v>
      </c>
      <c r="D249" t="s">
        <v>26</v>
      </c>
      <c r="E249" t="s">
        <v>16</v>
      </c>
      <c r="F249" t="s">
        <v>40</v>
      </c>
      <c r="G249">
        <v>1</v>
      </c>
      <c r="H249" s="1">
        <v>3268198</v>
      </c>
      <c r="I249" s="1">
        <v>2549194</v>
      </c>
      <c r="J249" t="s">
        <v>29</v>
      </c>
      <c r="K249" s="1">
        <f>Tabla1[[#This Row],[cantidad]]*Tabla1[[#This Row],[precio_unitario]]</f>
        <v>3268198</v>
      </c>
      <c r="L249" s="1">
        <f>Tabla1[[#This Row],[cantidad]]*Tabla1[[#This Row],[costo_unitario]]</f>
        <v>2549194</v>
      </c>
      <c r="M249" s="1">
        <f>Tabla1[[#This Row],[venta_total]]-Tabla1[[#This Row],[costo_total]]</f>
        <v>719004</v>
      </c>
      <c r="N249" s="3">
        <f>Tabla1[[#This Row],[margen]]/Tabla1[[#This Row],[venta_total]]</f>
        <v>0.22000013463076595</v>
      </c>
    </row>
    <row r="250" spans="1:14" x14ac:dyDescent="0.25">
      <c r="A250" s="2">
        <v>45472</v>
      </c>
      <c r="B250" t="s">
        <v>10</v>
      </c>
      <c r="C250" t="s">
        <v>11</v>
      </c>
      <c r="D250" t="s">
        <v>38</v>
      </c>
      <c r="E250" t="s">
        <v>16</v>
      </c>
      <c r="F250" t="s">
        <v>39</v>
      </c>
      <c r="G250">
        <v>1</v>
      </c>
      <c r="H250" s="1">
        <v>5479968</v>
      </c>
      <c r="I250" s="1">
        <v>4109976</v>
      </c>
      <c r="J250" t="s">
        <v>29</v>
      </c>
      <c r="K250" s="1">
        <f>Tabla1[[#This Row],[cantidad]]*Tabla1[[#This Row],[precio_unitario]]</f>
        <v>5479968</v>
      </c>
      <c r="L250" s="1">
        <f>Tabla1[[#This Row],[cantidad]]*Tabla1[[#This Row],[costo_unitario]]</f>
        <v>4109976</v>
      </c>
      <c r="M250" s="1">
        <f>Tabla1[[#This Row],[venta_total]]-Tabla1[[#This Row],[costo_total]]</f>
        <v>1369992</v>
      </c>
      <c r="N250" s="3">
        <f>Tabla1[[#This Row],[margen]]/Tabla1[[#This Row],[venta_total]]</f>
        <v>0.25</v>
      </c>
    </row>
    <row r="251" spans="1:14" x14ac:dyDescent="0.25">
      <c r="A251" s="2">
        <v>45401</v>
      </c>
      <c r="B251" t="s">
        <v>34</v>
      </c>
      <c r="C251" t="s">
        <v>11</v>
      </c>
      <c r="D251" t="s">
        <v>26</v>
      </c>
      <c r="E251" t="s">
        <v>13</v>
      </c>
      <c r="F251" t="s">
        <v>27</v>
      </c>
      <c r="G251">
        <v>1</v>
      </c>
      <c r="H251" s="1">
        <v>6478318</v>
      </c>
      <c r="I251" s="1">
        <v>5182654</v>
      </c>
      <c r="J251" t="s">
        <v>31</v>
      </c>
      <c r="K251" s="1">
        <f>Tabla1[[#This Row],[cantidad]]*Tabla1[[#This Row],[precio_unitario]]</f>
        <v>6478318</v>
      </c>
      <c r="L251" s="1">
        <f>Tabla1[[#This Row],[cantidad]]*Tabla1[[#This Row],[costo_unitario]]</f>
        <v>5182654</v>
      </c>
      <c r="M251" s="1">
        <f>Tabla1[[#This Row],[venta_total]]-Tabla1[[#This Row],[costo_total]]</f>
        <v>1295664</v>
      </c>
      <c r="N251" s="3">
        <f>Tabla1[[#This Row],[margen]]/Tabla1[[#This Row],[venta_total]]</f>
        <v>0.20000006174442192</v>
      </c>
    </row>
    <row r="252" spans="1:14" x14ac:dyDescent="0.25">
      <c r="A252" s="2">
        <v>45465</v>
      </c>
      <c r="B252" t="s">
        <v>34</v>
      </c>
      <c r="C252" t="s">
        <v>11</v>
      </c>
      <c r="D252" t="s">
        <v>19</v>
      </c>
      <c r="E252" t="s">
        <v>13</v>
      </c>
      <c r="F252" t="s">
        <v>33</v>
      </c>
      <c r="G252">
        <v>1</v>
      </c>
      <c r="H252" s="1">
        <v>1858669</v>
      </c>
      <c r="I252" s="1">
        <v>1301068</v>
      </c>
      <c r="J252" t="s">
        <v>22</v>
      </c>
      <c r="K252" s="1">
        <f>Tabla1[[#This Row],[cantidad]]*Tabla1[[#This Row],[precio_unitario]]</f>
        <v>1858669</v>
      </c>
      <c r="L252" s="1">
        <f>Tabla1[[#This Row],[cantidad]]*Tabla1[[#This Row],[costo_unitario]]</f>
        <v>1301068</v>
      </c>
      <c r="M252" s="1">
        <f>Tabla1[[#This Row],[venta_total]]-Tabla1[[#This Row],[costo_total]]</f>
        <v>557601</v>
      </c>
      <c r="N252" s="3">
        <f>Tabla1[[#This Row],[margen]]/Tabla1[[#This Row],[venta_total]]</f>
        <v>0.3000001614058232</v>
      </c>
    </row>
    <row r="253" spans="1:14" x14ac:dyDescent="0.25">
      <c r="A253" s="2">
        <v>45333</v>
      </c>
      <c r="B253" t="s">
        <v>32</v>
      </c>
      <c r="C253" t="s">
        <v>11</v>
      </c>
      <c r="D253" t="s">
        <v>38</v>
      </c>
      <c r="E253" t="s">
        <v>16</v>
      </c>
      <c r="F253" t="s">
        <v>39</v>
      </c>
      <c r="G253">
        <v>1</v>
      </c>
      <c r="H253" s="1">
        <v>5283286</v>
      </c>
      <c r="I253" s="1">
        <v>3962464</v>
      </c>
      <c r="J253" t="s">
        <v>15</v>
      </c>
      <c r="K253" s="1">
        <f>Tabla1[[#This Row],[cantidad]]*Tabla1[[#This Row],[precio_unitario]]</f>
        <v>5283286</v>
      </c>
      <c r="L253" s="1">
        <f>Tabla1[[#This Row],[cantidad]]*Tabla1[[#This Row],[costo_unitario]]</f>
        <v>3962464</v>
      </c>
      <c r="M253" s="1">
        <f>Tabla1[[#This Row],[venta_total]]-Tabla1[[#This Row],[costo_total]]</f>
        <v>1320822</v>
      </c>
      <c r="N253" s="3">
        <f>Tabla1[[#This Row],[margen]]/Tabla1[[#This Row],[venta_total]]</f>
        <v>0.25000009463807182</v>
      </c>
    </row>
    <row r="254" spans="1:14" x14ac:dyDescent="0.25">
      <c r="A254" s="2">
        <v>45300</v>
      </c>
      <c r="B254" t="s">
        <v>18</v>
      </c>
      <c r="C254" t="s">
        <v>11</v>
      </c>
      <c r="D254" t="s">
        <v>38</v>
      </c>
      <c r="E254" t="s">
        <v>20</v>
      </c>
      <c r="F254" t="s">
        <v>42</v>
      </c>
      <c r="G254">
        <v>1</v>
      </c>
      <c r="H254" s="1">
        <v>2608435</v>
      </c>
      <c r="I254" s="1">
        <v>1878073</v>
      </c>
      <c r="J254" t="s">
        <v>29</v>
      </c>
      <c r="K254" s="1">
        <f>Tabla1[[#This Row],[cantidad]]*Tabla1[[#This Row],[precio_unitario]]</f>
        <v>2608435</v>
      </c>
      <c r="L254" s="1">
        <f>Tabla1[[#This Row],[cantidad]]*Tabla1[[#This Row],[costo_unitario]]</f>
        <v>1878073</v>
      </c>
      <c r="M254" s="1">
        <f>Tabla1[[#This Row],[venta_total]]-Tabla1[[#This Row],[costo_total]]</f>
        <v>730362</v>
      </c>
      <c r="N254" s="3">
        <f>Tabla1[[#This Row],[margen]]/Tabla1[[#This Row],[venta_total]]</f>
        <v>0.28000007667432769</v>
      </c>
    </row>
    <row r="255" spans="1:14" x14ac:dyDescent="0.25">
      <c r="A255" s="2">
        <v>45325</v>
      </c>
      <c r="B255" t="s">
        <v>32</v>
      </c>
      <c r="C255" t="s">
        <v>11</v>
      </c>
      <c r="D255" t="s">
        <v>12</v>
      </c>
      <c r="E255" t="s">
        <v>13</v>
      </c>
      <c r="F255" t="s">
        <v>14</v>
      </c>
      <c r="G255">
        <v>1</v>
      </c>
      <c r="H255" s="1">
        <v>4952671</v>
      </c>
      <c r="I255" s="1">
        <v>3962136</v>
      </c>
      <c r="J255" t="s">
        <v>15</v>
      </c>
      <c r="K255" s="1">
        <f>Tabla1[[#This Row],[cantidad]]*Tabla1[[#This Row],[precio_unitario]]</f>
        <v>4952671</v>
      </c>
      <c r="L255" s="1">
        <f>Tabla1[[#This Row],[cantidad]]*Tabla1[[#This Row],[costo_unitario]]</f>
        <v>3962136</v>
      </c>
      <c r="M255" s="1">
        <f>Tabla1[[#This Row],[venta_total]]-Tabla1[[#This Row],[costo_total]]</f>
        <v>990535</v>
      </c>
      <c r="N255" s="3">
        <f>Tabla1[[#This Row],[margen]]/Tabla1[[#This Row],[venta_total]]</f>
        <v>0.20000016152900121</v>
      </c>
    </row>
    <row r="256" spans="1:14" x14ac:dyDescent="0.25">
      <c r="A256" s="2">
        <v>45439</v>
      </c>
      <c r="B256" t="s">
        <v>34</v>
      </c>
      <c r="C256" t="s">
        <v>11</v>
      </c>
      <c r="D256" t="s">
        <v>38</v>
      </c>
      <c r="E256" t="s">
        <v>20</v>
      </c>
      <c r="F256" t="s">
        <v>42</v>
      </c>
      <c r="G256">
        <v>1</v>
      </c>
      <c r="H256" s="1">
        <v>2979486</v>
      </c>
      <c r="I256" s="1">
        <v>2145229</v>
      </c>
      <c r="J256" t="s">
        <v>31</v>
      </c>
      <c r="K256" s="1">
        <f>Tabla1[[#This Row],[cantidad]]*Tabla1[[#This Row],[precio_unitario]]</f>
        <v>2979486</v>
      </c>
      <c r="L256" s="1">
        <f>Tabla1[[#This Row],[cantidad]]*Tabla1[[#This Row],[costo_unitario]]</f>
        <v>2145229</v>
      </c>
      <c r="M256" s="1">
        <f>Tabla1[[#This Row],[venta_total]]-Tabla1[[#This Row],[costo_total]]</f>
        <v>834257</v>
      </c>
      <c r="N256" s="3">
        <f>Tabla1[[#This Row],[margen]]/Tabla1[[#This Row],[venta_total]]</f>
        <v>0.28000030877809123</v>
      </c>
    </row>
    <row r="257" spans="1:14" x14ac:dyDescent="0.25">
      <c r="A257" s="2">
        <v>45435</v>
      </c>
      <c r="B257" t="s">
        <v>32</v>
      </c>
      <c r="C257" t="s">
        <v>11</v>
      </c>
      <c r="D257" t="s">
        <v>19</v>
      </c>
      <c r="E257" t="s">
        <v>13</v>
      </c>
      <c r="F257" t="s">
        <v>33</v>
      </c>
      <c r="G257">
        <v>2</v>
      </c>
      <c r="H257" s="1">
        <v>1867424</v>
      </c>
      <c r="I257" s="1">
        <v>1307196</v>
      </c>
      <c r="J257" t="s">
        <v>25</v>
      </c>
      <c r="K257" s="1">
        <f>Tabla1[[#This Row],[cantidad]]*Tabla1[[#This Row],[precio_unitario]]</f>
        <v>3734848</v>
      </c>
      <c r="L257" s="1">
        <f>Tabla1[[#This Row],[cantidad]]*Tabla1[[#This Row],[costo_unitario]]</f>
        <v>2614392</v>
      </c>
      <c r="M257" s="1">
        <f>Tabla1[[#This Row],[venta_total]]-Tabla1[[#This Row],[costo_total]]</f>
        <v>1120456</v>
      </c>
      <c r="N257" s="3">
        <f>Tabla1[[#This Row],[margen]]/Tabla1[[#This Row],[venta_total]]</f>
        <v>0.30000042839762153</v>
      </c>
    </row>
    <row r="258" spans="1:14" x14ac:dyDescent="0.25">
      <c r="A258" s="2">
        <v>45366</v>
      </c>
      <c r="B258" t="s">
        <v>10</v>
      </c>
      <c r="C258" t="s">
        <v>11</v>
      </c>
      <c r="D258" t="s">
        <v>19</v>
      </c>
      <c r="E258" t="s">
        <v>20</v>
      </c>
      <c r="F258" t="s">
        <v>21</v>
      </c>
      <c r="G258">
        <v>1</v>
      </c>
      <c r="H258" s="1">
        <v>565078</v>
      </c>
      <c r="I258" s="1">
        <v>339046</v>
      </c>
      <c r="J258" t="s">
        <v>29</v>
      </c>
      <c r="K258" s="1">
        <f>Tabla1[[#This Row],[cantidad]]*Tabla1[[#This Row],[precio_unitario]]</f>
        <v>565078</v>
      </c>
      <c r="L258" s="1">
        <f>Tabla1[[#This Row],[cantidad]]*Tabla1[[#This Row],[costo_unitario]]</f>
        <v>339046</v>
      </c>
      <c r="M258" s="1">
        <f>Tabla1[[#This Row],[venta_total]]-Tabla1[[#This Row],[costo_total]]</f>
        <v>226032</v>
      </c>
      <c r="N258" s="3">
        <f>Tabla1[[#This Row],[margen]]/Tabla1[[#This Row],[venta_total]]</f>
        <v>0.40000141573375708</v>
      </c>
    </row>
    <row r="259" spans="1:14" x14ac:dyDescent="0.25">
      <c r="A259" s="2">
        <v>45415</v>
      </c>
      <c r="B259" t="s">
        <v>34</v>
      </c>
      <c r="C259" t="s">
        <v>11</v>
      </c>
      <c r="D259" t="s">
        <v>38</v>
      </c>
      <c r="E259" t="s">
        <v>20</v>
      </c>
      <c r="F259" t="s">
        <v>42</v>
      </c>
      <c r="G259">
        <v>1</v>
      </c>
      <c r="H259" s="1">
        <v>3149591</v>
      </c>
      <c r="I259" s="1">
        <v>2267705</v>
      </c>
      <c r="J259" t="s">
        <v>31</v>
      </c>
      <c r="K259" s="1">
        <f>Tabla1[[#This Row],[cantidad]]*Tabla1[[#This Row],[precio_unitario]]</f>
        <v>3149591</v>
      </c>
      <c r="L259" s="1">
        <f>Tabla1[[#This Row],[cantidad]]*Tabla1[[#This Row],[costo_unitario]]</f>
        <v>2267705</v>
      </c>
      <c r="M259" s="1">
        <f>Tabla1[[#This Row],[venta_total]]-Tabla1[[#This Row],[costo_total]]</f>
        <v>881886</v>
      </c>
      <c r="N259" s="3">
        <f>Tabla1[[#This Row],[margen]]/Tabla1[[#This Row],[venta_total]]</f>
        <v>0.280000165100802</v>
      </c>
    </row>
    <row r="260" spans="1:14" x14ac:dyDescent="0.25">
      <c r="A260" s="2">
        <v>45386</v>
      </c>
      <c r="B260" t="s">
        <v>18</v>
      </c>
      <c r="C260" t="s">
        <v>11</v>
      </c>
      <c r="D260" t="s">
        <v>26</v>
      </c>
      <c r="E260" t="s">
        <v>13</v>
      </c>
      <c r="F260" t="s">
        <v>27</v>
      </c>
      <c r="G260">
        <v>1</v>
      </c>
      <c r="H260" s="1">
        <v>7079490</v>
      </c>
      <c r="I260" s="1">
        <v>5663592</v>
      </c>
      <c r="J260" t="s">
        <v>15</v>
      </c>
      <c r="K260" s="1">
        <f>Tabla1[[#This Row],[cantidad]]*Tabla1[[#This Row],[precio_unitario]]</f>
        <v>7079490</v>
      </c>
      <c r="L260" s="1">
        <f>Tabla1[[#This Row],[cantidad]]*Tabla1[[#This Row],[costo_unitario]]</f>
        <v>5663592</v>
      </c>
      <c r="M260" s="1">
        <f>Tabla1[[#This Row],[venta_total]]-Tabla1[[#This Row],[costo_total]]</f>
        <v>1415898</v>
      </c>
      <c r="N260" s="3">
        <f>Tabla1[[#This Row],[margen]]/Tabla1[[#This Row],[venta_total]]</f>
        <v>0.2</v>
      </c>
    </row>
    <row r="261" spans="1:14" x14ac:dyDescent="0.25">
      <c r="A261" s="2">
        <v>45367</v>
      </c>
      <c r="B261" t="s">
        <v>18</v>
      </c>
      <c r="C261" t="s">
        <v>11</v>
      </c>
      <c r="D261" t="s">
        <v>23</v>
      </c>
      <c r="E261" t="s">
        <v>13</v>
      </c>
      <c r="F261" t="s">
        <v>28</v>
      </c>
      <c r="G261">
        <v>1</v>
      </c>
      <c r="H261" s="1">
        <v>2848669</v>
      </c>
      <c r="I261" s="1">
        <v>2278935</v>
      </c>
      <c r="J261" t="s">
        <v>25</v>
      </c>
      <c r="K261" s="1">
        <f>Tabla1[[#This Row],[cantidad]]*Tabla1[[#This Row],[precio_unitario]]</f>
        <v>2848669</v>
      </c>
      <c r="L261" s="1">
        <f>Tabla1[[#This Row],[cantidad]]*Tabla1[[#This Row],[costo_unitario]]</f>
        <v>2278935</v>
      </c>
      <c r="M261" s="1">
        <f>Tabla1[[#This Row],[venta_total]]-Tabla1[[#This Row],[costo_total]]</f>
        <v>569734</v>
      </c>
      <c r="N261" s="3">
        <f>Tabla1[[#This Row],[margen]]/Tabla1[[#This Row],[venta_total]]</f>
        <v>0.20000007020822708</v>
      </c>
    </row>
    <row r="262" spans="1:14" x14ac:dyDescent="0.25">
      <c r="A262" s="2">
        <v>45386</v>
      </c>
      <c r="B262" t="s">
        <v>32</v>
      </c>
      <c r="C262" t="s">
        <v>11</v>
      </c>
      <c r="D262" t="s">
        <v>12</v>
      </c>
      <c r="E262" t="s">
        <v>13</v>
      </c>
      <c r="F262" t="s">
        <v>14</v>
      </c>
      <c r="G262">
        <v>1</v>
      </c>
      <c r="H262" s="1">
        <v>4155026</v>
      </c>
      <c r="I262" s="1">
        <v>3324020</v>
      </c>
      <c r="J262" t="s">
        <v>15</v>
      </c>
      <c r="K262" s="1">
        <f>Tabla1[[#This Row],[cantidad]]*Tabla1[[#This Row],[precio_unitario]]</f>
        <v>4155026</v>
      </c>
      <c r="L262" s="1">
        <f>Tabla1[[#This Row],[cantidad]]*Tabla1[[#This Row],[costo_unitario]]</f>
        <v>3324020</v>
      </c>
      <c r="M262" s="1">
        <f>Tabla1[[#This Row],[venta_total]]-Tabla1[[#This Row],[costo_total]]</f>
        <v>831006</v>
      </c>
      <c r="N262" s="3">
        <f>Tabla1[[#This Row],[margen]]/Tabla1[[#This Row],[venta_total]]</f>
        <v>0.20000019253790469</v>
      </c>
    </row>
    <row r="263" spans="1:14" x14ac:dyDescent="0.25">
      <c r="A263" s="2">
        <v>45470</v>
      </c>
      <c r="B263" t="s">
        <v>10</v>
      </c>
      <c r="C263" t="s">
        <v>11</v>
      </c>
      <c r="D263" t="s">
        <v>38</v>
      </c>
      <c r="E263" t="s">
        <v>13</v>
      </c>
      <c r="F263" t="s">
        <v>41</v>
      </c>
      <c r="G263">
        <v>1</v>
      </c>
      <c r="H263" s="1">
        <v>6659064</v>
      </c>
      <c r="I263" s="1">
        <v>5327251</v>
      </c>
      <c r="J263" t="s">
        <v>22</v>
      </c>
      <c r="K263" s="1">
        <f>Tabla1[[#This Row],[cantidad]]*Tabla1[[#This Row],[precio_unitario]]</f>
        <v>6659064</v>
      </c>
      <c r="L263" s="1">
        <f>Tabla1[[#This Row],[cantidad]]*Tabla1[[#This Row],[costo_unitario]]</f>
        <v>5327251</v>
      </c>
      <c r="M263" s="1">
        <f>Tabla1[[#This Row],[venta_total]]-Tabla1[[#This Row],[costo_total]]</f>
        <v>1331813</v>
      </c>
      <c r="N263" s="3">
        <f>Tabla1[[#This Row],[margen]]/Tabla1[[#This Row],[venta_total]]</f>
        <v>0.20000003003425107</v>
      </c>
    </row>
    <row r="264" spans="1:14" x14ac:dyDescent="0.25">
      <c r="A264" s="2">
        <v>45442</v>
      </c>
      <c r="B264" t="s">
        <v>18</v>
      </c>
      <c r="C264" t="s">
        <v>11</v>
      </c>
      <c r="D264" t="s">
        <v>12</v>
      </c>
      <c r="E264" t="s">
        <v>13</v>
      </c>
      <c r="F264" t="s">
        <v>14</v>
      </c>
      <c r="G264">
        <v>1</v>
      </c>
      <c r="H264" s="1">
        <v>5184358</v>
      </c>
      <c r="I264" s="1">
        <v>4147486</v>
      </c>
      <c r="J264" t="s">
        <v>29</v>
      </c>
      <c r="K264" s="1">
        <f>Tabla1[[#This Row],[cantidad]]*Tabla1[[#This Row],[precio_unitario]]</f>
        <v>5184358</v>
      </c>
      <c r="L264" s="1">
        <f>Tabla1[[#This Row],[cantidad]]*Tabla1[[#This Row],[costo_unitario]]</f>
        <v>4147486</v>
      </c>
      <c r="M264" s="1">
        <f>Tabla1[[#This Row],[venta_total]]-Tabla1[[#This Row],[costo_total]]</f>
        <v>1036872</v>
      </c>
      <c r="N264" s="3">
        <f>Tabla1[[#This Row],[margen]]/Tabla1[[#This Row],[venta_total]]</f>
        <v>0.2000000771551656</v>
      </c>
    </row>
    <row r="265" spans="1:14" x14ac:dyDescent="0.25">
      <c r="A265" s="2">
        <v>45376</v>
      </c>
      <c r="B265" t="s">
        <v>10</v>
      </c>
      <c r="C265" t="s">
        <v>11</v>
      </c>
      <c r="D265" t="s">
        <v>19</v>
      </c>
      <c r="E265" t="s">
        <v>13</v>
      </c>
      <c r="F265" t="s">
        <v>33</v>
      </c>
      <c r="G265">
        <v>2</v>
      </c>
      <c r="H265" s="1">
        <v>1488681</v>
      </c>
      <c r="I265" s="1">
        <v>1042076</v>
      </c>
      <c r="J265" t="s">
        <v>22</v>
      </c>
      <c r="K265" s="1">
        <f>Tabla1[[#This Row],[cantidad]]*Tabla1[[#This Row],[precio_unitario]]</f>
        <v>2977362</v>
      </c>
      <c r="L265" s="1">
        <f>Tabla1[[#This Row],[cantidad]]*Tabla1[[#This Row],[costo_unitario]]</f>
        <v>2084152</v>
      </c>
      <c r="M265" s="1">
        <f>Tabla1[[#This Row],[venta_total]]-Tabla1[[#This Row],[costo_total]]</f>
        <v>893210</v>
      </c>
      <c r="N265" s="3">
        <f>Tabla1[[#This Row],[margen]]/Tabla1[[#This Row],[venta_total]]</f>
        <v>0.30000047021490839</v>
      </c>
    </row>
    <row r="266" spans="1:14" x14ac:dyDescent="0.25">
      <c r="A266" s="2">
        <v>45308</v>
      </c>
      <c r="B266" t="s">
        <v>34</v>
      </c>
      <c r="C266" t="s">
        <v>11</v>
      </c>
      <c r="D266" t="s">
        <v>19</v>
      </c>
      <c r="E266" t="s">
        <v>16</v>
      </c>
      <c r="F266" t="s">
        <v>35</v>
      </c>
      <c r="G266">
        <v>2</v>
      </c>
      <c r="H266" s="1">
        <v>787113</v>
      </c>
      <c r="I266" s="1">
        <v>511623</v>
      </c>
      <c r="J266" t="s">
        <v>29</v>
      </c>
      <c r="K266" s="1">
        <f>Tabla1[[#This Row],[cantidad]]*Tabla1[[#This Row],[precio_unitario]]</f>
        <v>1574226</v>
      </c>
      <c r="L266" s="1">
        <f>Tabla1[[#This Row],[cantidad]]*Tabla1[[#This Row],[costo_unitario]]</f>
        <v>1023246</v>
      </c>
      <c r="M266" s="1">
        <f>Tabla1[[#This Row],[venta_total]]-Tabla1[[#This Row],[costo_total]]</f>
        <v>550980</v>
      </c>
      <c r="N266" s="3">
        <f>Tabla1[[#This Row],[margen]]/Tabla1[[#This Row],[venta_total]]</f>
        <v>0.35000057170952581</v>
      </c>
    </row>
    <row r="267" spans="1:14" x14ac:dyDescent="0.25">
      <c r="A267" s="2">
        <v>45384</v>
      </c>
      <c r="B267" t="s">
        <v>34</v>
      </c>
      <c r="C267" t="s">
        <v>11</v>
      </c>
      <c r="D267" t="s">
        <v>12</v>
      </c>
      <c r="E267" t="s">
        <v>16</v>
      </c>
      <c r="F267" t="s">
        <v>17</v>
      </c>
      <c r="G267">
        <v>1</v>
      </c>
      <c r="H267" s="1">
        <v>3110690</v>
      </c>
      <c r="I267" s="1">
        <v>2426338</v>
      </c>
      <c r="J267" t="s">
        <v>15</v>
      </c>
      <c r="K267" s="1">
        <f>Tabla1[[#This Row],[cantidad]]*Tabla1[[#This Row],[precio_unitario]]</f>
        <v>3110690</v>
      </c>
      <c r="L267" s="1">
        <f>Tabla1[[#This Row],[cantidad]]*Tabla1[[#This Row],[costo_unitario]]</f>
        <v>2426338</v>
      </c>
      <c r="M267" s="1">
        <f>Tabla1[[#This Row],[venta_total]]-Tabla1[[#This Row],[costo_total]]</f>
        <v>684352</v>
      </c>
      <c r="N267" s="3">
        <f>Tabla1[[#This Row],[margen]]/Tabla1[[#This Row],[venta_total]]</f>
        <v>0.22000006429441699</v>
      </c>
    </row>
    <row r="268" spans="1:14" x14ac:dyDescent="0.25">
      <c r="A268" s="2">
        <v>45469</v>
      </c>
      <c r="B268" t="s">
        <v>18</v>
      </c>
      <c r="C268" t="s">
        <v>11</v>
      </c>
      <c r="D268" t="s">
        <v>38</v>
      </c>
      <c r="E268" t="s">
        <v>16</v>
      </c>
      <c r="F268" t="s">
        <v>39</v>
      </c>
      <c r="G268">
        <v>1</v>
      </c>
      <c r="H268" s="1">
        <v>4325294</v>
      </c>
      <c r="I268" s="1">
        <v>3243970</v>
      </c>
      <c r="J268" t="s">
        <v>25</v>
      </c>
      <c r="K268" s="1">
        <f>Tabla1[[#This Row],[cantidad]]*Tabla1[[#This Row],[precio_unitario]]</f>
        <v>4325294</v>
      </c>
      <c r="L268" s="1">
        <f>Tabla1[[#This Row],[cantidad]]*Tabla1[[#This Row],[costo_unitario]]</f>
        <v>3243970</v>
      </c>
      <c r="M268" s="1">
        <f>Tabla1[[#This Row],[venta_total]]-Tabla1[[#This Row],[costo_total]]</f>
        <v>1081324</v>
      </c>
      <c r="N268" s="3">
        <f>Tabla1[[#This Row],[margen]]/Tabla1[[#This Row],[venta_total]]</f>
        <v>0.25000011559907837</v>
      </c>
    </row>
    <row r="269" spans="1:14" x14ac:dyDescent="0.25">
      <c r="A269" s="2">
        <v>45369</v>
      </c>
      <c r="B269" t="s">
        <v>34</v>
      </c>
      <c r="C269" t="s">
        <v>11</v>
      </c>
      <c r="D269" t="s">
        <v>38</v>
      </c>
      <c r="E269" t="s">
        <v>13</v>
      </c>
      <c r="F269" t="s">
        <v>41</v>
      </c>
      <c r="G269">
        <v>1</v>
      </c>
      <c r="H269" s="1">
        <v>6614164</v>
      </c>
      <c r="I269" s="1">
        <v>5291331</v>
      </c>
      <c r="J269" t="s">
        <v>31</v>
      </c>
      <c r="K269" s="1">
        <f>Tabla1[[#This Row],[cantidad]]*Tabla1[[#This Row],[precio_unitario]]</f>
        <v>6614164</v>
      </c>
      <c r="L269" s="1">
        <f>Tabla1[[#This Row],[cantidad]]*Tabla1[[#This Row],[costo_unitario]]</f>
        <v>5291331</v>
      </c>
      <c r="M269" s="1">
        <f>Tabla1[[#This Row],[venta_total]]-Tabla1[[#This Row],[costo_total]]</f>
        <v>1322833</v>
      </c>
      <c r="N269" s="3">
        <f>Tabla1[[#This Row],[margen]]/Tabla1[[#This Row],[venta_total]]</f>
        <v>0.20000003023813742</v>
      </c>
    </row>
    <row r="270" spans="1:14" x14ac:dyDescent="0.25">
      <c r="A270" s="2">
        <v>45306</v>
      </c>
      <c r="B270" t="s">
        <v>10</v>
      </c>
      <c r="C270" t="s">
        <v>11</v>
      </c>
      <c r="D270" t="s">
        <v>38</v>
      </c>
      <c r="E270" t="s">
        <v>16</v>
      </c>
      <c r="F270" t="s">
        <v>39</v>
      </c>
      <c r="G270">
        <v>1</v>
      </c>
      <c r="H270" s="1">
        <v>5270228</v>
      </c>
      <c r="I270" s="1">
        <v>3952671</v>
      </c>
      <c r="J270" t="s">
        <v>15</v>
      </c>
      <c r="K270" s="1">
        <f>Tabla1[[#This Row],[cantidad]]*Tabla1[[#This Row],[precio_unitario]]</f>
        <v>5270228</v>
      </c>
      <c r="L270" s="1">
        <f>Tabla1[[#This Row],[cantidad]]*Tabla1[[#This Row],[costo_unitario]]</f>
        <v>3952671</v>
      </c>
      <c r="M270" s="1">
        <f>Tabla1[[#This Row],[venta_total]]-Tabla1[[#This Row],[costo_total]]</f>
        <v>1317557</v>
      </c>
      <c r="N270" s="3">
        <f>Tabla1[[#This Row],[margen]]/Tabla1[[#This Row],[venta_total]]</f>
        <v>0.25</v>
      </c>
    </row>
    <row r="271" spans="1:14" x14ac:dyDescent="0.25">
      <c r="A271" s="2">
        <v>45353</v>
      </c>
      <c r="B271" t="s">
        <v>32</v>
      </c>
      <c r="C271" t="s">
        <v>11</v>
      </c>
      <c r="D271" t="s">
        <v>19</v>
      </c>
      <c r="E271" t="s">
        <v>20</v>
      </c>
      <c r="F271" t="s">
        <v>21</v>
      </c>
      <c r="G271">
        <v>2</v>
      </c>
      <c r="H271" s="1">
        <v>291639</v>
      </c>
      <c r="I271" s="1">
        <v>174983</v>
      </c>
      <c r="J271" t="s">
        <v>22</v>
      </c>
      <c r="K271" s="1">
        <f>Tabla1[[#This Row],[cantidad]]*Tabla1[[#This Row],[precio_unitario]]</f>
        <v>583278</v>
      </c>
      <c r="L271" s="1">
        <f>Tabla1[[#This Row],[cantidad]]*Tabla1[[#This Row],[costo_unitario]]</f>
        <v>349966</v>
      </c>
      <c r="M271" s="1">
        <f>Tabla1[[#This Row],[venta_total]]-Tabla1[[#This Row],[costo_total]]</f>
        <v>233312</v>
      </c>
      <c r="N271" s="3">
        <f>Tabla1[[#This Row],[margen]]/Tabla1[[#This Row],[venta_total]]</f>
        <v>0.40000137155867355</v>
      </c>
    </row>
    <row r="272" spans="1:14" x14ac:dyDescent="0.25">
      <c r="A272" s="2">
        <v>45297</v>
      </c>
      <c r="B272" t="s">
        <v>18</v>
      </c>
      <c r="C272" t="s">
        <v>11</v>
      </c>
      <c r="D272" t="s">
        <v>19</v>
      </c>
      <c r="E272" t="s">
        <v>13</v>
      </c>
      <c r="F272" t="s">
        <v>33</v>
      </c>
      <c r="G272">
        <v>3</v>
      </c>
      <c r="H272" s="1">
        <v>1818981</v>
      </c>
      <c r="I272" s="1">
        <v>1273286</v>
      </c>
      <c r="J272" t="s">
        <v>31</v>
      </c>
      <c r="K272" s="1">
        <f>Tabla1[[#This Row],[cantidad]]*Tabla1[[#This Row],[precio_unitario]]</f>
        <v>5456943</v>
      </c>
      <c r="L272" s="1">
        <f>Tabla1[[#This Row],[cantidad]]*Tabla1[[#This Row],[costo_unitario]]</f>
        <v>3819858</v>
      </c>
      <c r="M272" s="1">
        <f>Tabla1[[#This Row],[venta_total]]-Tabla1[[#This Row],[costo_total]]</f>
        <v>1637085</v>
      </c>
      <c r="N272" s="3">
        <f>Tabla1[[#This Row],[margen]]/Tabla1[[#This Row],[venta_total]]</f>
        <v>0.30000038483084762</v>
      </c>
    </row>
    <row r="273" spans="1:14" x14ac:dyDescent="0.25">
      <c r="A273" s="2">
        <v>45332</v>
      </c>
      <c r="B273" t="s">
        <v>18</v>
      </c>
      <c r="C273" t="s">
        <v>11</v>
      </c>
      <c r="D273" t="s">
        <v>38</v>
      </c>
      <c r="E273" t="s">
        <v>20</v>
      </c>
      <c r="F273" t="s">
        <v>42</v>
      </c>
      <c r="G273">
        <v>1</v>
      </c>
      <c r="H273" s="1">
        <v>2176053</v>
      </c>
      <c r="I273" s="1">
        <v>1566758</v>
      </c>
      <c r="J273" t="s">
        <v>31</v>
      </c>
      <c r="K273" s="1">
        <f>Tabla1[[#This Row],[cantidad]]*Tabla1[[#This Row],[precio_unitario]]</f>
        <v>2176053</v>
      </c>
      <c r="L273" s="1">
        <f>Tabla1[[#This Row],[cantidad]]*Tabla1[[#This Row],[costo_unitario]]</f>
        <v>1566758</v>
      </c>
      <c r="M273" s="1">
        <f>Tabla1[[#This Row],[venta_total]]-Tabla1[[#This Row],[costo_total]]</f>
        <v>609295</v>
      </c>
      <c r="N273" s="3">
        <f>Tabla1[[#This Row],[margen]]/Tabla1[[#This Row],[venta_total]]</f>
        <v>0.28000007352762091</v>
      </c>
    </row>
    <row r="274" spans="1:14" x14ac:dyDescent="0.25">
      <c r="A274" s="2">
        <v>45313</v>
      </c>
      <c r="B274" t="s">
        <v>34</v>
      </c>
      <c r="C274" t="s">
        <v>11</v>
      </c>
      <c r="D274" t="s">
        <v>23</v>
      </c>
      <c r="E274" t="s">
        <v>20</v>
      </c>
      <c r="F274" t="s">
        <v>30</v>
      </c>
      <c r="G274">
        <v>1</v>
      </c>
      <c r="H274" s="1">
        <v>822530</v>
      </c>
      <c r="I274" s="1">
        <v>575771</v>
      </c>
      <c r="J274" t="s">
        <v>31</v>
      </c>
      <c r="K274" s="1">
        <f>Tabla1[[#This Row],[cantidad]]*Tabla1[[#This Row],[precio_unitario]]</f>
        <v>822530</v>
      </c>
      <c r="L274" s="1">
        <f>Tabla1[[#This Row],[cantidad]]*Tabla1[[#This Row],[costo_unitario]]</f>
        <v>575771</v>
      </c>
      <c r="M274" s="1">
        <f>Tabla1[[#This Row],[venta_total]]-Tabla1[[#This Row],[costo_total]]</f>
        <v>246759</v>
      </c>
      <c r="N274" s="3">
        <f>Tabla1[[#This Row],[margen]]/Tabla1[[#This Row],[venta_total]]</f>
        <v>0.3</v>
      </c>
    </row>
    <row r="275" spans="1:14" x14ac:dyDescent="0.25">
      <c r="A275" s="2">
        <v>45407</v>
      </c>
      <c r="B275" t="s">
        <v>10</v>
      </c>
      <c r="C275" t="s">
        <v>11</v>
      </c>
      <c r="D275" t="s">
        <v>12</v>
      </c>
      <c r="E275" t="s">
        <v>13</v>
      </c>
      <c r="F275" t="s">
        <v>14</v>
      </c>
      <c r="G275">
        <v>1</v>
      </c>
      <c r="H275" s="1">
        <v>4086050</v>
      </c>
      <c r="I275" s="1">
        <v>3268840</v>
      </c>
      <c r="J275" t="s">
        <v>31</v>
      </c>
      <c r="K275" s="1">
        <f>Tabla1[[#This Row],[cantidad]]*Tabla1[[#This Row],[precio_unitario]]</f>
        <v>4086050</v>
      </c>
      <c r="L275" s="1">
        <f>Tabla1[[#This Row],[cantidad]]*Tabla1[[#This Row],[costo_unitario]]</f>
        <v>3268840</v>
      </c>
      <c r="M275" s="1">
        <f>Tabla1[[#This Row],[venta_total]]-Tabla1[[#This Row],[costo_total]]</f>
        <v>817210</v>
      </c>
      <c r="N275" s="3">
        <f>Tabla1[[#This Row],[margen]]/Tabla1[[#This Row],[venta_total]]</f>
        <v>0.2</v>
      </c>
    </row>
    <row r="276" spans="1:14" x14ac:dyDescent="0.25">
      <c r="A276" s="2">
        <v>45334</v>
      </c>
      <c r="B276" t="s">
        <v>34</v>
      </c>
      <c r="C276" t="s">
        <v>11</v>
      </c>
      <c r="D276" t="s">
        <v>26</v>
      </c>
      <c r="E276" t="s">
        <v>16</v>
      </c>
      <c r="F276" t="s">
        <v>40</v>
      </c>
      <c r="G276">
        <v>1</v>
      </c>
      <c r="H276" s="1">
        <v>3276643</v>
      </c>
      <c r="I276" s="1">
        <v>2555781</v>
      </c>
      <c r="J276" t="s">
        <v>29</v>
      </c>
      <c r="K276" s="1">
        <f>Tabla1[[#This Row],[cantidad]]*Tabla1[[#This Row],[precio_unitario]]</f>
        <v>3276643</v>
      </c>
      <c r="L276" s="1">
        <f>Tabla1[[#This Row],[cantidad]]*Tabla1[[#This Row],[costo_unitario]]</f>
        <v>2555781</v>
      </c>
      <c r="M276" s="1">
        <f>Tabla1[[#This Row],[venta_total]]-Tabla1[[#This Row],[costo_total]]</f>
        <v>720862</v>
      </c>
      <c r="N276" s="3">
        <f>Tabla1[[#This Row],[margen]]/Tabla1[[#This Row],[venta_total]]</f>
        <v>0.220000164802818</v>
      </c>
    </row>
    <row r="277" spans="1:14" x14ac:dyDescent="0.25">
      <c r="A277" s="2">
        <v>45463</v>
      </c>
      <c r="B277" t="s">
        <v>34</v>
      </c>
      <c r="C277" t="s">
        <v>11</v>
      </c>
      <c r="D277" t="s">
        <v>26</v>
      </c>
      <c r="E277" t="s">
        <v>16</v>
      </c>
      <c r="F277" t="s">
        <v>40</v>
      </c>
      <c r="G277">
        <v>1</v>
      </c>
      <c r="H277" s="1">
        <v>4821414</v>
      </c>
      <c r="I277" s="1">
        <v>3760702</v>
      </c>
      <c r="J277" t="s">
        <v>22</v>
      </c>
      <c r="K277" s="1">
        <f>Tabla1[[#This Row],[cantidad]]*Tabla1[[#This Row],[precio_unitario]]</f>
        <v>4821414</v>
      </c>
      <c r="L277" s="1">
        <f>Tabla1[[#This Row],[cantidad]]*Tabla1[[#This Row],[costo_unitario]]</f>
        <v>3760702</v>
      </c>
      <c r="M277" s="1">
        <f>Tabla1[[#This Row],[venta_total]]-Tabla1[[#This Row],[costo_total]]</f>
        <v>1060712</v>
      </c>
      <c r="N277" s="3">
        <f>Tabla1[[#This Row],[margen]]/Tabla1[[#This Row],[venta_total]]</f>
        <v>0.22000019081539149</v>
      </c>
    </row>
    <row r="278" spans="1:14" x14ac:dyDescent="0.25">
      <c r="A278" s="2">
        <v>45469</v>
      </c>
      <c r="B278" t="s">
        <v>10</v>
      </c>
      <c r="C278" t="s">
        <v>11</v>
      </c>
      <c r="D278" t="s">
        <v>23</v>
      </c>
      <c r="E278" t="s">
        <v>13</v>
      </c>
      <c r="F278" t="s">
        <v>28</v>
      </c>
      <c r="G278">
        <v>1</v>
      </c>
      <c r="H278" s="1">
        <v>3243551</v>
      </c>
      <c r="I278" s="1">
        <v>2594840</v>
      </c>
      <c r="J278" t="s">
        <v>31</v>
      </c>
      <c r="K278" s="1">
        <f>Tabla1[[#This Row],[cantidad]]*Tabla1[[#This Row],[precio_unitario]]</f>
        <v>3243551</v>
      </c>
      <c r="L278" s="1">
        <f>Tabla1[[#This Row],[cantidad]]*Tabla1[[#This Row],[costo_unitario]]</f>
        <v>2594840</v>
      </c>
      <c r="M278" s="1">
        <f>Tabla1[[#This Row],[venta_total]]-Tabla1[[#This Row],[costo_total]]</f>
        <v>648711</v>
      </c>
      <c r="N278" s="3">
        <f>Tabla1[[#This Row],[margen]]/Tabla1[[#This Row],[venta_total]]</f>
        <v>0.20000024664326227</v>
      </c>
    </row>
    <row r="279" spans="1:14" x14ac:dyDescent="0.25">
      <c r="A279" s="2">
        <v>45407</v>
      </c>
      <c r="B279" t="s">
        <v>10</v>
      </c>
      <c r="C279" t="s">
        <v>11</v>
      </c>
      <c r="D279" t="s">
        <v>12</v>
      </c>
      <c r="E279" t="s">
        <v>20</v>
      </c>
      <c r="F279" t="s">
        <v>37</v>
      </c>
      <c r="G279">
        <v>1</v>
      </c>
      <c r="H279" s="1">
        <v>2108659</v>
      </c>
      <c r="I279" s="1">
        <v>1581494</v>
      </c>
      <c r="J279" t="s">
        <v>29</v>
      </c>
      <c r="K279" s="1">
        <f>Tabla1[[#This Row],[cantidad]]*Tabla1[[#This Row],[precio_unitario]]</f>
        <v>2108659</v>
      </c>
      <c r="L279" s="1">
        <f>Tabla1[[#This Row],[cantidad]]*Tabla1[[#This Row],[costo_unitario]]</f>
        <v>1581494</v>
      </c>
      <c r="M279" s="1">
        <f>Tabla1[[#This Row],[venta_total]]-Tabla1[[#This Row],[costo_total]]</f>
        <v>527165</v>
      </c>
      <c r="N279" s="3">
        <f>Tabla1[[#This Row],[margen]]/Tabla1[[#This Row],[venta_total]]</f>
        <v>0.25000011855876175</v>
      </c>
    </row>
    <row r="280" spans="1:14" x14ac:dyDescent="0.25">
      <c r="A280" s="2">
        <v>45300</v>
      </c>
      <c r="B280" t="s">
        <v>18</v>
      </c>
      <c r="C280" t="s">
        <v>11</v>
      </c>
      <c r="D280" t="s">
        <v>12</v>
      </c>
      <c r="E280" t="s">
        <v>13</v>
      </c>
      <c r="F280" t="s">
        <v>14</v>
      </c>
      <c r="G280">
        <v>1</v>
      </c>
      <c r="H280" s="1">
        <v>5326797</v>
      </c>
      <c r="I280" s="1">
        <v>4261437</v>
      </c>
      <c r="J280" t="s">
        <v>22</v>
      </c>
      <c r="K280" s="1">
        <f>Tabla1[[#This Row],[cantidad]]*Tabla1[[#This Row],[precio_unitario]]</f>
        <v>5326797</v>
      </c>
      <c r="L280" s="1">
        <f>Tabla1[[#This Row],[cantidad]]*Tabla1[[#This Row],[costo_unitario]]</f>
        <v>4261437</v>
      </c>
      <c r="M280" s="1">
        <f>Tabla1[[#This Row],[venta_total]]-Tabla1[[#This Row],[costo_total]]</f>
        <v>1065360</v>
      </c>
      <c r="N280" s="3">
        <f>Tabla1[[#This Row],[margen]]/Tabla1[[#This Row],[venta_total]]</f>
        <v>0.20000011263804496</v>
      </c>
    </row>
    <row r="281" spans="1:14" x14ac:dyDescent="0.25">
      <c r="A281" s="2">
        <v>45318</v>
      </c>
      <c r="B281" t="s">
        <v>32</v>
      </c>
      <c r="C281" t="s">
        <v>11</v>
      </c>
      <c r="D281" t="s">
        <v>19</v>
      </c>
      <c r="E281" t="s">
        <v>20</v>
      </c>
      <c r="F281" t="s">
        <v>21</v>
      </c>
      <c r="G281">
        <v>2</v>
      </c>
      <c r="H281" s="1">
        <v>562334</v>
      </c>
      <c r="I281" s="1">
        <v>337400</v>
      </c>
      <c r="J281" t="s">
        <v>15</v>
      </c>
      <c r="K281" s="1">
        <f>Tabla1[[#This Row],[cantidad]]*Tabla1[[#This Row],[precio_unitario]]</f>
        <v>1124668</v>
      </c>
      <c r="L281" s="1">
        <f>Tabla1[[#This Row],[cantidad]]*Tabla1[[#This Row],[costo_unitario]]</f>
        <v>674800</v>
      </c>
      <c r="M281" s="1">
        <f>Tabla1[[#This Row],[venta_total]]-Tabla1[[#This Row],[costo_total]]</f>
        <v>449868</v>
      </c>
      <c r="N281" s="3">
        <f>Tabla1[[#This Row],[margen]]/Tabla1[[#This Row],[venta_total]]</f>
        <v>0.40000071132102988</v>
      </c>
    </row>
    <row r="282" spans="1:14" x14ac:dyDescent="0.25">
      <c r="A282" s="2">
        <v>45460</v>
      </c>
      <c r="B282" t="s">
        <v>32</v>
      </c>
      <c r="C282" t="s">
        <v>11</v>
      </c>
      <c r="D282" t="s">
        <v>26</v>
      </c>
      <c r="E282" t="s">
        <v>20</v>
      </c>
      <c r="F282" t="s">
        <v>36</v>
      </c>
      <c r="G282">
        <v>1</v>
      </c>
      <c r="H282" s="1">
        <v>2914795</v>
      </c>
      <c r="I282" s="1">
        <v>2186096</v>
      </c>
      <c r="J282" t="s">
        <v>31</v>
      </c>
      <c r="K282" s="1">
        <f>Tabla1[[#This Row],[cantidad]]*Tabla1[[#This Row],[precio_unitario]]</f>
        <v>2914795</v>
      </c>
      <c r="L282" s="1">
        <f>Tabla1[[#This Row],[cantidad]]*Tabla1[[#This Row],[costo_unitario]]</f>
        <v>2186096</v>
      </c>
      <c r="M282" s="1">
        <f>Tabla1[[#This Row],[venta_total]]-Tabla1[[#This Row],[costo_total]]</f>
        <v>728699</v>
      </c>
      <c r="N282" s="3">
        <f>Tabla1[[#This Row],[margen]]/Tabla1[[#This Row],[venta_total]]</f>
        <v>0.25000008576932514</v>
      </c>
    </row>
    <row r="283" spans="1:14" x14ac:dyDescent="0.25">
      <c r="A283" s="2">
        <v>45368</v>
      </c>
      <c r="B283" t="s">
        <v>32</v>
      </c>
      <c r="C283" t="s">
        <v>11</v>
      </c>
      <c r="D283" t="s">
        <v>12</v>
      </c>
      <c r="E283" t="s">
        <v>13</v>
      </c>
      <c r="F283" t="s">
        <v>14</v>
      </c>
      <c r="G283">
        <v>1</v>
      </c>
      <c r="H283" s="1">
        <v>4747276</v>
      </c>
      <c r="I283" s="1">
        <v>3797820</v>
      </c>
      <c r="J283" t="s">
        <v>15</v>
      </c>
      <c r="K283" s="1">
        <f>Tabla1[[#This Row],[cantidad]]*Tabla1[[#This Row],[precio_unitario]]</f>
        <v>4747276</v>
      </c>
      <c r="L283" s="1">
        <f>Tabla1[[#This Row],[cantidad]]*Tabla1[[#This Row],[costo_unitario]]</f>
        <v>3797820</v>
      </c>
      <c r="M283" s="1">
        <f>Tabla1[[#This Row],[venta_total]]-Tabla1[[#This Row],[costo_total]]</f>
        <v>949456</v>
      </c>
      <c r="N283" s="3">
        <f>Tabla1[[#This Row],[margen]]/Tabla1[[#This Row],[venta_total]]</f>
        <v>0.20000016851769309</v>
      </c>
    </row>
    <row r="284" spans="1:14" x14ac:dyDescent="0.25">
      <c r="A284" s="2">
        <v>45360</v>
      </c>
      <c r="B284" t="s">
        <v>10</v>
      </c>
      <c r="C284" t="s">
        <v>11</v>
      </c>
      <c r="D284" t="s">
        <v>12</v>
      </c>
      <c r="E284" t="s">
        <v>16</v>
      </c>
      <c r="F284" t="s">
        <v>17</v>
      </c>
      <c r="G284">
        <v>1</v>
      </c>
      <c r="H284" s="1">
        <v>3092031</v>
      </c>
      <c r="I284" s="1">
        <v>2411784</v>
      </c>
      <c r="J284" t="s">
        <v>15</v>
      </c>
      <c r="K284" s="1">
        <f>Tabla1[[#This Row],[cantidad]]*Tabla1[[#This Row],[precio_unitario]]</f>
        <v>3092031</v>
      </c>
      <c r="L284" s="1">
        <f>Tabla1[[#This Row],[cantidad]]*Tabla1[[#This Row],[costo_unitario]]</f>
        <v>2411784</v>
      </c>
      <c r="M284" s="1">
        <f>Tabla1[[#This Row],[venta_total]]-Tabla1[[#This Row],[costo_total]]</f>
        <v>680247</v>
      </c>
      <c r="N284" s="3">
        <f>Tabla1[[#This Row],[margen]]/Tabla1[[#This Row],[venta_total]]</f>
        <v>0.2200000582141641</v>
      </c>
    </row>
    <row r="285" spans="1:14" x14ac:dyDescent="0.25">
      <c r="A285" s="2">
        <v>45319</v>
      </c>
      <c r="B285" t="s">
        <v>34</v>
      </c>
      <c r="C285" t="s">
        <v>11</v>
      </c>
      <c r="D285" t="s">
        <v>23</v>
      </c>
      <c r="E285" t="s">
        <v>16</v>
      </c>
      <c r="F285" t="s">
        <v>24</v>
      </c>
      <c r="G285">
        <v>1</v>
      </c>
      <c r="H285" s="1">
        <v>1703034</v>
      </c>
      <c r="I285" s="1">
        <v>1277275</v>
      </c>
      <c r="J285" t="s">
        <v>31</v>
      </c>
      <c r="K285" s="1">
        <f>Tabla1[[#This Row],[cantidad]]*Tabla1[[#This Row],[precio_unitario]]</f>
        <v>1703034</v>
      </c>
      <c r="L285" s="1">
        <f>Tabla1[[#This Row],[cantidad]]*Tabla1[[#This Row],[costo_unitario]]</f>
        <v>1277275</v>
      </c>
      <c r="M285" s="1">
        <f>Tabla1[[#This Row],[venta_total]]-Tabla1[[#This Row],[costo_total]]</f>
        <v>425759</v>
      </c>
      <c r="N285" s="3">
        <f>Tabla1[[#This Row],[margen]]/Tabla1[[#This Row],[venta_total]]</f>
        <v>0.25000029359366871</v>
      </c>
    </row>
    <row r="286" spans="1:14" x14ac:dyDescent="0.25">
      <c r="A286" s="2">
        <v>45345</v>
      </c>
      <c r="B286" t="s">
        <v>34</v>
      </c>
      <c r="C286" t="s">
        <v>11</v>
      </c>
      <c r="D286" t="s">
        <v>23</v>
      </c>
      <c r="E286" t="s">
        <v>20</v>
      </c>
      <c r="F286" t="s">
        <v>30</v>
      </c>
      <c r="G286">
        <v>1</v>
      </c>
      <c r="H286" s="1">
        <v>1042059</v>
      </c>
      <c r="I286" s="1">
        <v>729441</v>
      </c>
      <c r="J286" t="s">
        <v>22</v>
      </c>
      <c r="K286" s="1">
        <f>Tabla1[[#This Row],[cantidad]]*Tabla1[[#This Row],[precio_unitario]]</f>
        <v>1042059</v>
      </c>
      <c r="L286" s="1">
        <f>Tabla1[[#This Row],[cantidad]]*Tabla1[[#This Row],[costo_unitario]]</f>
        <v>729441</v>
      </c>
      <c r="M286" s="1">
        <f>Tabla1[[#This Row],[venta_total]]-Tabla1[[#This Row],[costo_total]]</f>
        <v>312618</v>
      </c>
      <c r="N286" s="3">
        <f>Tabla1[[#This Row],[margen]]/Tabla1[[#This Row],[venta_total]]</f>
        <v>0.30000028789156852</v>
      </c>
    </row>
    <row r="287" spans="1:14" x14ac:dyDescent="0.25">
      <c r="A287" s="2">
        <v>45298</v>
      </c>
      <c r="B287" t="s">
        <v>10</v>
      </c>
      <c r="C287" t="s">
        <v>11</v>
      </c>
      <c r="D287" t="s">
        <v>23</v>
      </c>
      <c r="E287" t="s">
        <v>20</v>
      </c>
      <c r="F287" t="s">
        <v>30</v>
      </c>
      <c r="G287">
        <v>1</v>
      </c>
      <c r="H287" s="1">
        <v>1005654</v>
      </c>
      <c r="I287" s="1">
        <v>703957</v>
      </c>
      <c r="J287" t="s">
        <v>22</v>
      </c>
      <c r="K287" s="1">
        <f>Tabla1[[#This Row],[cantidad]]*Tabla1[[#This Row],[precio_unitario]]</f>
        <v>1005654</v>
      </c>
      <c r="L287" s="1">
        <f>Tabla1[[#This Row],[cantidad]]*Tabla1[[#This Row],[costo_unitario]]</f>
        <v>703957</v>
      </c>
      <c r="M287" s="1">
        <f>Tabla1[[#This Row],[venta_total]]-Tabla1[[#This Row],[costo_total]]</f>
        <v>301697</v>
      </c>
      <c r="N287" s="3">
        <f>Tabla1[[#This Row],[margen]]/Tabla1[[#This Row],[venta_total]]</f>
        <v>0.30000079550223041</v>
      </c>
    </row>
    <row r="288" spans="1:14" x14ac:dyDescent="0.25">
      <c r="A288" s="2">
        <v>45415</v>
      </c>
      <c r="B288" t="s">
        <v>32</v>
      </c>
      <c r="C288" t="s">
        <v>11</v>
      </c>
      <c r="D288" t="s">
        <v>12</v>
      </c>
      <c r="E288" t="s">
        <v>20</v>
      </c>
      <c r="F288" t="s">
        <v>37</v>
      </c>
      <c r="G288">
        <v>1</v>
      </c>
      <c r="H288" s="1">
        <v>2458449</v>
      </c>
      <c r="I288" s="1">
        <v>1843836</v>
      </c>
      <c r="J288" t="s">
        <v>25</v>
      </c>
      <c r="K288" s="1">
        <f>Tabla1[[#This Row],[cantidad]]*Tabla1[[#This Row],[precio_unitario]]</f>
        <v>2458449</v>
      </c>
      <c r="L288" s="1">
        <f>Tabla1[[#This Row],[cantidad]]*Tabla1[[#This Row],[costo_unitario]]</f>
        <v>1843836</v>
      </c>
      <c r="M288" s="1">
        <f>Tabla1[[#This Row],[venta_total]]-Tabla1[[#This Row],[costo_total]]</f>
        <v>614613</v>
      </c>
      <c r="N288" s="3">
        <f>Tabla1[[#This Row],[margen]]/Tabla1[[#This Row],[venta_total]]</f>
        <v>0.25000030507039195</v>
      </c>
    </row>
    <row r="289" spans="1:14" x14ac:dyDescent="0.25">
      <c r="A289" s="2">
        <v>45357</v>
      </c>
      <c r="B289" t="s">
        <v>10</v>
      </c>
      <c r="C289" t="s">
        <v>11</v>
      </c>
      <c r="D289" t="s">
        <v>19</v>
      </c>
      <c r="E289" t="s">
        <v>13</v>
      </c>
      <c r="F289" t="s">
        <v>33</v>
      </c>
      <c r="G289">
        <v>3</v>
      </c>
      <c r="H289" s="1">
        <v>1548569</v>
      </c>
      <c r="I289" s="1">
        <v>1083998</v>
      </c>
      <c r="J289" t="s">
        <v>15</v>
      </c>
      <c r="K289" s="1">
        <f>Tabla1[[#This Row],[cantidad]]*Tabla1[[#This Row],[precio_unitario]]</f>
        <v>4645707</v>
      </c>
      <c r="L289" s="1">
        <f>Tabla1[[#This Row],[cantidad]]*Tabla1[[#This Row],[costo_unitario]]</f>
        <v>3251994</v>
      </c>
      <c r="M289" s="1">
        <f>Tabla1[[#This Row],[venta_total]]-Tabla1[[#This Row],[costo_total]]</f>
        <v>1393713</v>
      </c>
      <c r="N289" s="3">
        <f>Tabla1[[#This Row],[margen]]/Tabla1[[#This Row],[venta_total]]</f>
        <v>0.30000019372724107</v>
      </c>
    </row>
    <row r="290" spans="1:14" x14ac:dyDescent="0.25">
      <c r="A290" s="2">
        <v>45428</v>
      </c>
      <c r="B290" t="s">
        <v>10</v>
      </c>
      <c r="C290" t="s">
        <v>11</v>
      </c>
      <c r="D290" t="s">
        <v>12</v>
      </c>
      <c r="E290" t="s">
        <v>13</v>
      </c>
      <c r="F290" t="s">
        <v>14</v>
      </c>
      <c r="G290">
        <v>1</v>
      </c>
      <c r="H290" s="1">
        <v>4798160</v>
      </c>
      <c r="I290" s="1">
        <v>3838528</v>
      </c>
      <c r="J290" t="s">
        <v>15</v>
      </c>
      <c r="K290" s="1">
        <f>Tabla1[[#This Row],[cantidad]]*Tabla1[[#This Row],[precio_unitario]]</f>
        <v>4798160</v>
      </c>
      <c r="L290" s="1">
        <f>Tabla1[[#This Row],[cantidad]]*Tabla1[[#This Row],[costo_unitario]]</f>
        <v>3838528</v>
      </c>
      <c r="M290" s="1">
        <f>Tabla1[[#This Row],[venta_total]]-Tabla1[[#This Row],[costo_total]]</f>
        <v>959632</v>
      </c>
      <c r="N290" s="3">
        <f>Tabla1[[#This Row],[margen]]/Tabla1[[#This Row],[venta_total]]</f>
        <v>0.2</v>
      </c>
    </row>
    <row r="291" spans="1:14" x14ac:dyDescent="0.25">
      <c r="A291" s="2">
        <v>45442</v>
      </c>
      <c r="B291" t="s">
        <v>10</v>
      </c>
      <c r="C291" t="s">
        <v>11</v>
      </c>
      <c r="D291" t="s">
        <v>19</v>
      </c>
      <c r="E291" t="s">
        <v>20</v>
      </c>
      <c r="F291" t="s">
        <v>21</v>
      </c>
      <c r="G291">
        <v>3</v>
      </c>
      <c r="H291" s="1">
        <v>310774</v>
      </c>
      <c r="I291" s="1">
        <v>186464</v>
      </c>
      <c r="J291" t="s">
        <v>15</v>
      </c>
      <c r="K291" s="1">
        <f>Tabla1[[#This Row],[cantidad]]*Tabla1[[#This Row],[precio_unitario]]</f>
        <v>932322</v>
      </c>
      <c r="L291" s="1">
        <f>Tabla1[[#This Row],[cantidad]]*Tabla1[[#This Row],[costo_unitario]]</f>
        <v>559392</v>
      </c>
      <c r="M291" s="1">
        <f>Tabla1[[#This Row],[venta_total]]-Tabla1[[#This Row],[costo_total]]</f>
        <v>372930</v>
      </c>
      <c r="N291" s="3">
        <f>Tabla1[[#This Row],[margen]]/Tabla1[[#This Row],[venta_total]]</f>
        <v>0.40000128710896021</v>
      </c>
    </row>
    <row r="292" spans="1:14" x14ac:dyDescent="0.25">
      <c r="A292" s="2">
        <v>45295</v>
      </c>
      <c r="B292" t="s">
        <v>34</v>
      </c>
      <c r="C292" t="s">
        <v>11</v>
      </c>
      <c r="D292" t="s">
        <v>19</v>
      </c>
      <c r="E292" t="s">
        <v>13</v>
      </c>
      <c r="F292" t="s">
        <v>33</v>
      </c>
      <c r="G292">
        <v>2</v>
      </c>
      <c r="H292" s="1">
        <v>1664812</v>
      </c>
      <c r="I292" s="1">
        <v>1165368</v>
      </c>
      <c r="J292" t="s">
        <v>15</v>
      </c>
      <c r="K292" s="1">
        <f>Tabla1[[#This Row],[cantidad]]*Tabla1[[#This Row],[precio_unitario]]</f>
        <v>3329624</v>
      </c>
      <c r="L292" s="1">
        <f>Tabla1[[#This Row],[cantidad]]*Tabla1[[#This Row],[costo_unitario]]</f>
        <v>2330736</v>
      </c>
      <c r="M292" s="1">
        <f>Tabla1[[#This Row],[venta_total]]-Tabla1[[#This Row],[costo_total]]</f>
        <v>998888</v>
      </c>
      <c r="N292" s="3">
        <f>Tabla1[[#This Row],[margen]]/Tabla1[[#This Row],[venta_total]]</f>
        <v>0.30000024026736954</v>
      </c>
    </row>
    <row r="293" spans="1:14" x14ac:dyDescent="0.25">
      <c r="A293" s="2">
        <v>45303</v>
      </c>
      <c r="B293" t="s">
        <v>18</v>
      </c>
      <c r="C293" t="s">
        <v>11</v>
      </c>
      <c r="D293" t="s">
        <v>19</v>
      </c>
      <c r="E293" t="s">
        <v>20</v>
      </c>
      <c r="F293" t="s">
        <v>21</v>
      </c>
      <c r="G293">
        <v>2</v>
      </c>
      <c r="H293" s="1">
        <v>393325</v>
      </c>
      <c r="I293" s="1">
        <v>235995</v>
      </c>
      <c r="J293" t="s">
        <v>22</v>
      </c>
      <c r="K293" s="1">
        <f>Tabla1[[#This Row],[cantidad]]*Tabla1[[#This Row],[precio_unitario]]</f>
        <v>786650</v>
      </c>
      <c r="L293" s="1">
        <f>Tabla1[[#This Row],[cantidad]]*Tabla1[[#This Row],[costo_unitario]]</f>
        <v>471990</v>
      </c>
      <c r="M293" s="1">
        <f>Tabla1[[#This Row],[venta_total]]-Tabla1[[#This Row],[costo_total]]</f>
        <v>314660</v>
      </c>
      <c r="N293" s="3">
        <f>Tabla1[[#This Row],[margen]]/Tabla1[[#This Row],[venta_total]]</f>
        <v>0.4</v>
      </c>
    </row>
    <row r="294" spans="1:14" x14ac:dyDescent="0.25">
      <c r="A294" s="2">
        <v>45316</v>
      </c>
      <c r="B294" t="s">
        <v>18</v>
      </c>
      <c r="C294" t="s">
        <v>11</v>
      </c>
      <c r="D294" t="s">
        <v>26</v>
      </c>
      <c r="E294" t="s">
        <v>13</v>
      </c>
      <c r="F294" t="s">
        <v>27</v>
      </c>
      <c r="G294">
        <v>1</v>
      </c>
      <c r="H294" s="1">
        <v>5455434</v>
      </c>
      <c r="I294" s="1">
        <v>4364347</v>
      </c>
      <c r="J294" t="s">
        <v>31</v>
      </c>
      <c r="K294" s="1">
        <f>Tabla1[[#This Row],[cantidad]]*Tabla1[[#This Row],[precio_unitario]]</f>
        <v>5455434</v>
      </c>
      <c r="L294" s="1">
        <f>Tabla1[[#This Row],[cantidad]]*Tabla1[[#This Row],[costo_unitario]]</f>
        <v>4364347</v>
      </c>
      <c r="M294" s="1">
        <f>Tabla1[[#This Row],[venta_total]]-Tabla1[[#This Row],[costo_total]]</f>
        <v>1091087</v>
      </c>
      <c r="N294" s="3">
        <f>Tabla1[[#This Row],[margen]]/Tabla1[[#This Row],[venta_total]]</f>
        <v>0.20000003666069463</v>
      </c>
    </row>
    <row r="295" spans="1:14" x14ac:dyDescent="0.25">
      <c r="A295" s="2">
        <v>45400</v>
      </c>
      <c r="B295" t="s">
        <v>34</v>
      </c>
      <c r="C295" t="s">
        <v>11</v>
      </c>
      <c r="D295" t="s">
        <v>19</v>
      </c>
      <c r="E295" t="s">
        <v>13</v>
      </c>
      <c r="F295" t="s">
        <v>33</v>
      </c>
      <c r="G295">
        <v>2</v>
      </c>
      <c r="H295" s="1">
        <v>1898133</v>
      </c>
      <c r="I295" s="1">
        <v>1328693</v>
      </c>
      <c r="J295" t="s">
        <v>29</v>
      </c>
      <c r="K295" s="1">
        <f>Tabla1[[#This Row],[cantidad]]*Tabla1[[#This Row],[precio_unitario]]</f>
        <v>3796266</v>
      </c>
      <c r="L295" s="1">
        <f>Tabla1[[#This Row],[cantidad]]*Tabla1[[#This Row],[costo_unitario]]</f>
        <v>2657386</v>
      </c>
      <c r="M295" s="1">
        <f>Tabla1[[#This Row],[venta_total]]-Tabla1[[#This Row],[costo_total]]</f>
        <v>1138880</v>
      </c>
      <c r="N295" s="3">
        <f>Tabla1[[#This Row],[margen]]/Tabla1[[#This Row],[venta_total]]</f>
        <v>0.30000005268334728</v>
      </c>
    </row>
    <row r="296" spans="1:14" x14ac:dyDescent="0.25">
      <c r="A296" s="2">
        <v>45422</v>
      </c>
      <c r="B296" t="s">
        <v>18</v>
      </c>
      <c r="C296" t="s">
        <v>11</v>
      </c>
      <c r="D296" t="s">
        <v>19</v>
      </c>
      <c r="E296" t="s">
        <v>20</v>
      </c>
      <c r="F296" t="s">
        <v>21</v>
      </c>
      <c r="G296">
        <v>1</v>
      </c>
      <c r="H296" s="1">
        <v>541413</v>
      </c>
      <c r="I296" s="1">
        <v>324847</v>
      </c>
      <c r="J296" t="s">
        <v>31</v>
      </c>
      <c r="K296" s="1">
        <f>Tabla1[[#This Row],[cantidad]]*Tabla1[[#This Row],[precio_unitario]]</f>
        <v>541413</v>
      </c>
      <c r="L296" s="1">
        <f>Tabla1[[#This Row],[cantidad]]*Tabla1[[#This Row],[costo_unitario]]</f>
        <v>324847</v>
      </c>
      <c r="M296" s="1">
        <f>Tabla1[[#This Row],[venta_total]]-Tabla1[[#This Row],[costo_total]]</f>
        <v>216566</v>
      </c>
      <c r="N296" s="3">
        <f>Tabla1[[#This Row],[margen]]/Tabla1[[#This Row],[venta_total]]</f>
        <v>0.40000147761505545</v>
      </c>
    </row>
    <row r="297" spans="1:14" x14ac:dyDescent="0.25">
      <c r="A297" s="2">
        <v>45437</v>
      </c>
      <c r="B297" t="s">
        <v>10</v>
      </c>
      <c r="C297" t="s">
        <v>11</v>
      </c>
      <c r="D297" t="s">
        <v>19</v>
      </c>
      <c r="E297" t="s">
        <v>16</v>
      </c>
      <c r="F297" t="s">
        <v>35</v>
      </c>
      <c r="G297">
        <v>2</v>
      </c>
      <c r="H297" s="1">
        <v>928292</v>
      </c>
      <c r="I297" s="1">
        <v>603389</v>
      </c>
      <c r="J297" t="s">
        <v>22</v>
      </c>
      <c r="K297" s="1">
        <f>Tabla1[[#This Row],[cantidad]]*Tabla1[[#This Row],[precio_unitario]]</f>
        <v>1856584</v>
      </c>
      <c r="L297" s="1">
        <f>Tabla1[[#This Row],[cantidad]]*Tabla1[[#This Row],[costo_unitario]]</f>
        <v>1206778</v>
      </c>
      <c r="M297" s="1">
        <f>Tabla1[[#This Row],[venta_total]]-Tabla1[[#This Row],[costo_total]]</f>
        <v>649806</v>
      </c>
      <c r="N297" s="3">
        <f>Tabla1[[#This Row],[margen]]/Tabla1[[#This Row],[venta_total]]</f>
        <v>0.35000086179779638</v>
      </c>
    </row>
    <row r="298" spans="1:14" x14ac:dyDescent="0.25">
      <c r="A298" s="2">
        <v>45377</v>
      </c>
      <c r="B298" t="s">
        <v>18</v>
      </c>
      <c r="C298" t="s">
        <v>11</v>
      </c>
      <c r="D298" t="s">
        <v>26</v>
      </c>
      <c r="E298" t="s">
        <v>16</v>
      </c>
      <c r="F298" t="s">
        <v>40</v>
      </c>
      <c r="G298">
        <v>1</v>
      </c>
      <c r="H298" s="1">
        <v>3906666</v>
      </c>
      <c r="I298" s="1">
        <v>3047199</v>
      </c>
      <c r="J298" t="s">
        <v>31</v>
      </c>
      <c r="K298" s="1">
        <f>Tabla1[[#This Row],[cantidad]]*Tabla1[[#This Row],[precio_unitario]]</f>
        <v>3906666</v>
      </c>
      <c r="L298" s="1">
        <f>Tabla1[[#This Row],[cantidad]]*Tabla1[[#This Row],[costo_unitario]]</f>
        <v>3047199</v>
      </c>
      <c r="M298" s="1">
        <f>Tabla1[[#This Row],[venta_total]]-Tabla1[[#This Row],[costo_total]]</f>
        <v>859467</v>
      </c>
      <c r="N298" s="3">
        <f>Tabla1[[#This Row],[margen]]/Tabla1[[#This Row],[venta_total]]</f>
        <v>0.22000012286691517</v>
      </c>
    </row>
    <row r="299" spans="1:14" x14ac:dyDescent="0.25">
      <c r="A299" s="2">
        <v>45397</v>
      </c>
      <c r="B299" t="s">
        <v>10</v>
      </c>
      <c r="C299" t="s">
        <v>11</v>
      </c>
      <c r="D299" t="s">
        <v>12</v>
      </c>
      <c r="E299" t="s">
        <v>20</v>
      </c>
      <c r="F299" t="s">
        <v>37</v>
      </c>
      <c r="G299">
        <v>1</v>
      </c>
      <c r="H299" s="1">
        <v>2185634</v>
      </c>
      <c r="I299" s="1">
        <v>1639225</v>
      </c>
      <c r="J299" t="s">
        <v>22</v>
      </c>
      <c r="K299" s="1">
        <f>Tabla1[[#This Row],[cantidad]]*Tabla1[[#This Row],[precio_unitario]]</f>
        <v>2185634</v>
      </c>
      <c r="L299" s="1">
        <f>Tabla1[[#This Row],[cantidad]]*Tabla1[[#This Row],[costo_unitario]]</f>
        <v>1639225</v>
      </c>
      <c r="M299" s="1">
        <f>Tabla1[[#This Row],[venta_total]]-Tabla1[[#This Row],[costo_total]]</f>
        <v>546409</v>
      </c>
      <c r="N299" s="3">
        <f>Tabla1[[#This Row],[margen]]/Tabla1[[#This Row],[venta_total]]</f>
        <v>0.25000022876657302</v>
      </c>
    </row>
    <row r="300" spans="1:14" x14ac:dyDescent="0.25">
      <c r="A300" s="2">
        <v>45395</v>
      </c>
      <c r="B300" t="s">
        <v>18</v>
      </c>
      <c r="C300" t="s">
        <v>11</v>
      </c>
      <c r="D300" t="s">
        <v>26</v>
      </c>
      <c r="E300" t="s">
        <v>16</v>
      </c>
      <c r="F300" t="s">
        <v>40</v>
      </c>
      <c r="G300">
        <v>1</v>
      </c>
      <c r="H300" s="1">
        <v>4749561</v>
      </c>
      <c r="I300" s="1">
        <v>3704657</v>
      </c>
      <c r="J300" t="s">
        <v>31</v>
      </c>
      <c r="K300" s="1">
        <f>Tabla1[[#This Row],[cantidad]]*Tabla1[[#This Row],[precio_unitario]]</f>
        <v>4749561</v>
      </c>
      <c r="L300" s="1">
        <f>Tabla1[[#This Row],[cantidad]]*Tabla1[[#This Row],[costo_unitario]]</f>
        <v>3704657</v>
      </c>
      <c r="M300" s="1">
        <f>Tabla1[[#This Row],[venta_total]]-Tabla1[[#This Row],[costo_total]]</f>
        <v>1044904</v>
      </c>
      <c r="N300" s="3">
        <f>Tabla1[[#This Row],[margen]]/Tabla1[[#This Row],[venta_total]]</f>
        <v>0.22000012211654929</v>
      </c>
    </row>
    <row r="301" spans="1:14" x14ac:dyDescent="0.25">
      <c r="A301" s="2">
        <v>45308</v>
      </c>
      <c r="B301" t="s">
        <v>34</v>
      </c>
      <c r="C301" t="s">
        <v>11</v>
      </c>
      <c r="D301" t="s">
        <v>38</v>
      </c>
      <c r="E301" t="s">
        <v>20</v>
      </c>
      <c r="F301" t="s">
        <v>42</v>
      </c>
      <c r="G301">
        <v>1</v>
      </c>
      <c r="H301" s="1">
        <v>3188211</v>
      </c>
      <c r="I301" s="1">
        <v>2295511</v>
      </c>
      <c r="J301" t="s">
        <v>25</v>
      </c>
      <c r="K301" s="1">
        <f>Tabla1[[#This Row],[cantidad]]*Tabla1[[#This Row],[precio_unitario]]</f>
        <v>3188211</v>
      </c>
      <c r="L301" s="1">
        <f>Tabla1[[#This Row],[cantidad]]*Tabla1[[#This Row],[costo_unitario]]</f>
        <v>2295511</v>
      </c>
      <c r="M301" s="1">
        <f>Tabla1[[#This Row],[venta_total]]-Tabla1[[#This Row],[costo_total]]</f>
        <v>892700</v>
      </c>
      <c r="N301" s="3">
        <f>Tabla1[[#This Row],[margen]]/Tabla1[[#This Row],[venta_total]]</f>
        <v>0.28000028856308445</v>
      </c>
    </row>
    <row r="302" spans="1:14" x14ac:dyDescent="0.25">
      <c r="A302" s="2">
        <v>45423</v>
      </c>
      <c r="B302" t="s">
        <v>10</v>
      </c>
      <c r="C302" t="s">
        <v>11</v>
      </c>
      <c r="D302" t="s">
        <v>26</v>
      </c>
      <c r="E302" t="s">
        <v>16</v>
      </c>
      <c r="F302" t="s">
        <v>40</v>
      </c>
      <c r="G302">
        <v>1</v>
      </c>
      <c r="H302" s="1">
        <v>4147633</v>
      </c>
      <c r="I302" s="1">
        <v>3235153</v>
      </c>
      <c r="J302" t="s">
        <v>22</v>
      </c>
      <c r="K302" s="1">
        <f>Tabla1[[#This Row],[cantidad]]*Tabla1[[#This Row],[precio_unitario]]</f>
        <v>4147633</v>
      </c>
      <c r="L302" s="1">
        <f>Tabla1[[#This Row],[cantidad]]*Tabla1[[#This Row],[costo_unitario]]</f>
        <v>3235153</v>
      </c>
      <c r="M302" s="1">
        <f>Tabla1[[#This Row],[venta_total]]-Tabla1[[#This Row],[costo_total]]</f>
        <v>912480</v>
      </c>
      <c r="N302" s="3">
        <f>Tabla1[[#This Row],[margen]]/Tabla1[[#This Row],[venta_total]]</f>
        <v>0.22000017841501407</v>
      </c>
    </row>
    <row r="303" spans="1:14" x14ac:dyDescent="0.25">
      <c r="A303" s="2">
        <v>45309</v>
      </c>
      <c r="B303" t="s">
        <v>18</v>
      </c>
      <c r="C303" t="s">
        <v>11</v>
      </c>
      <c r="D303" t="s">
        <v>38</v>
      </c>
      <c r="E303" t="s">
        <v>20</v>
      </c>
      <c r="F303" t="s">
        <v>42</v>
      </c>
      <c r="G303">
        <v>1</v>
      </c>
      <c r="H303" s="1">
        <v>2942887</v>
      </c>
      <c r="I303" s="1">
        <v>2118878</v>
      </c>
      <c r="J303" t="s">
        <v>25</v>
      </c>
      <c r="K303" s="1">
        <f>Tabla1[[#This Row],[cantidad]]*Tabla1[[#This Row],[precio_unitario]]</f>
        <v>2942887</v>
      </c>
      <c r="L303" s="1">
        <f>Tabla1[[#This Row],[cantidad]]*Tabla1[[#This Row],[costo_unitario]]</f>
        <v>2118878</v>
      </c>
      <c r="M303" s="1">
        <f>Tabla1[[#This Row],[venta_total]]-Tabla1[[#This Row],[costo_total]]</f>
        <v>824009</v>
      </c>
      <c r="N303" s="3">
        <f>Tabla1[[#This Row],[margen]]/Tabla1[[#This Row],[venta_total]]</f>
        <v>0.28000021747352177</v>
      </c>
    </row>
    <row r="304" spans="1:14" x14ac:dyDescent="0.25">
      <c r="A304" s="2">
        <v>45402</v>
      </c>
      <c r="B304" t="s">
        <v>32</v>
      </c>
      <c r="C304" t="s">
        <v>11</v>
      </c>
      <c r="D304" t="s">
        <v>38</v>
      </c>
      <c r="E304" t="s">
        <v>16</v>
      </c>
      <c r="F304" t="s">
        <v>39</v>
      </c>
      <c r="G304">
        <v>1</v>
      </c>
      <c r="H304" s="1">
        <v>3847539</v>
      </c>
      <c r="I304" s="1">
        <v>2885654</v>
      </c>
      <c r="J304" t="s">
        <v>29</v>
      </c>
      <c r="K304" s="1">
        <f>Tabla1[[#This Row],[cantidad]]*Tabla1[[#This Row],[precio_unitario]]</f>
        <v>3847539</v>
      </c>
      <c r="L304" s="1">
        <f>Tabla1[[#This Row],[cantidad]]*Tabla1[[#This Row],[costo_unitario]]</f>
        <v>2885654</v>
      </c>
      <c r="M304" s="1">
        <f>Tabla1[[#This Row],[venta_total]]-Tabla1[[#This Row],[costo_total]]</f>
        <v>961885</v>
      </c>
      <c r="N304" s="3">
        <f>Tabla1[[#This Row],[margen]]/Tabla1[[#This Row],[venta_total]]</f>
        <v>0.25000006497659932</v>
      </c>
    </row>
    <row r="305" spans="1:14" x14ac:dyDescent="0.25">
      <c r="A305" s="2">
        <v>45384</v>
      </c>
      <c r="B305" t="s">
        <v>32</v>
      </c>
      <c r="C305" t="s">
        <v>11</v>
      </c>
      <c r="D305" t="s">
        <v>38</v>
      </c>
      <c r="E305" t="s">
        <v>16</v>
      </c>
      <c r="F305" t="s">
        <v>39</v>
      </c>
      <c r="G305">
        <v>1</v>
      </c>
      <c r="H305" s="1">
        <v>5206078</v>
      </c>
      <c r="I305" s="1">
        <v>3904558</v>
      </c>
      <c r="J305" t="s">
        <v>25</v>
      </c>
      <c r="K305" s="1">
        <f>Tabla1[[#This Row],[cantidad]]*Tabla1[[#This Row],[precio_unitario]]</f>
        <v>5206078</v>
      </c>
      <c r="L305" s="1">
        <f>Tabla1[[#This Row],[cantidad]]*Tabla1[[#This Row],[costo_unitario]]</f>
        <v>3904558</v>
      </c>
      <c r="M305" s="1">
        <f>Tabla1[[#This Row],[venta_total]]-Tabla1[[#This Row],[costo_total]]</f>
        <v>1301520</v>
      </c>
      <c r="N305" s="3">
        <f>Tabla1[[#This Row],[margen]]/Tabla1[[#This Row],[venta_total]]</f>
        <v>0.25000009604158829</v>
      </c>
    </row>
    <row r="306" spans="1:14" x14ac:dyDescent="0.25">
      <c r="A306" s="2">
        <v>45360</v>
      </c>
      <c r="B306" t="s">
        <v>32</v>
      </c>
      <c r="C306" t="s">
        <v>11</v>
      </c>
      <c r="D306" t="s">
        <v>19</v>
      </c>
      <c r="E306" t="s">
        <v>13</v>
      </c>
      <c r="F306" t="s">
        <v>33</v>
      </c>
      <c r="G306">
        <v>1</v>
      </c>
      <c r="H306" s="1">
        <v>1208244</v>
      </c>
      <c r="I306" s="1">
        <v>845770</v>
      </c>
      <c r="J306" t="s">
        <v>22</v>
      </c>
      <c r="K306" s="1">
        <f>Tabla1[[#This Row],[cantidad]]*Tabla1[[#This Row],[precio_unitario]]</f>
        <v>1208244</v>
      </c>
      <c r="L306" s="1">
        <f>Tabla1[[#This Row],[cantidad]]*Tabla1[[#This Row],[costo_unitario]]</f>
        <v>845770</v>
      </c>
      <c r="M306" s="1">
        <f>Tabla1[[#This Row],[venta_total]]-Tabla1[[#This Row],[costo_total]]</f>
        <v>362474</v>
      </c>
      <c r="N306" s="3">
        <f>Tabla1[[#This Row],[margen]]/Tabla1[[#This Row],[venta_total]]</f>
        <v>0.30000066211791659</v>
      </c>
    </row>
    <row r="307" spans="1:14" x14ac:dyDescent="0.25">
      <c r="A307" s="2">
        <v>45350</v>
      </c>
      <c r="B307" t="s">
        <v>34</v>
      </c>
      <c r="C307" t="s">
        <v>11</v>
      </c>
      <c r="D307" t="s">
        <v>12</v>
      </c>
      <c r="E307" t="s">
        <v>16</v>
      </c>
      <c r="F307" t="s">
        <v>17</v>
      </c>
      <c r="G307">
        <v>1</v>
      </c>
      <c r="H307" s="1">
        <v>2816238</v>
      </c>
      <c r="I307" s="1">
        <v>2196665</v>
      </c>
      <c r="J307" t="s">
        <v>22</v>
      </c>
      <c r="K307" s="1">
        <f>Tabla1[[#This Row],[cantidad]]*Tabla1[[#This Row],[precio_unitario]]</f>
        <v>2816238</v>
      </c>
      <c r="L307" s="1">
        <f>Tabla1[[#This Row],[cantidad]]*Tabla1[[#This Row],[costo_unitario]]</f>
        <v>2196665</v>
      </c>
      <c r="M307" s="1">
        <f>Tabla1[[#This Row],[venta_total]]-Tabla1[[#This Row],[costo_total]]</f>
        <v>619573</v>
      </c>
      <c r="N307" s="3">
        <f>Tabla1[[#This Row],[margen]]/Tabla1[[#This Row],[venta_total]]</f>
        <v>0.22000022725352048</v>
      </c>
    </row>
    <row r="308" spans="1:14" x14ac:dyDescent="0.25">
      <c r="A308" s="2">
        <v>45374</v>
      </c>
      <c r="B308" t="s">
        <v>32</v>
      </c>
      <c r="C308" t="s">
        <v>11</v>
      </c>
      <c r="D308" t="s">
        <v>12</v>
      </c>
      <c r="E308" t="s">
        <v>20</v>
      </c>
      <c r="F308" t="s">
        <v>37</v>
      </c>
      <c r="G308">
        <v>1</v>
      </c>
      <c r="H308" s="1">
        <v>1972424</v>
      </c>
      <c r="I308" s="1">
        <v>1479318</v>
      </c>
      <c r="J308" t="s">
        <v>15</v>
      </c>
      <c r="K308" s="1">
        <f>Tabla1[[#This Row],[cantidad]]*Tabla1[[#This Row],[precio_unitario]]</f>
        <v>1972424</v>
      </c>
      <c r="L308" s="1">
        <f>Tabla1[[#This Row],[cantidad]]*Tabla1[[#This Row],[costo_unitario]]</f>
        <v>1479318</v>
      </c>
      <c r="M308" s="1">
        <f>Tabla1[[#This Row],[venta_total]]-Tabla1[[#This Row],[costo_total]]</f>
        <v>493106</v>
      </c>
      <c r="N308" s="3">
        <f>Tabla1[[#This Row],[margen]]/Tabla1[[#This Row],[venta_total]]</f>
        <v>0.25</v>
      </c>
    </row>
    <row r="309" spans="1:14" x14ac:dyDescent="0.25">
      <c r="A309" s="2">
        <v>45457</v>
      </c>
      <c r="B309" t="s">
        <v>32</v>
      </c>
      <c r="C309" t="s">
        <v>11</v>
      </c>
      <c r="D309" t="s">
        <v>26</v>
      </c>
      <c r="E309" t="s">
        <v>20</v>
      </c>
      <c r="F309" t="s">
        <v>36</v>
      </c>
      <c r="G309">
        <v>1</v>
      </c>
      <c r="H309" s="1">
        <v>3120887</v>
      </c>
      <c r="I309" s="1">
        <v>2340665</v>
      </c>
      <c r="J309" t="s">
        <v>15</v>
      </c>
      <c r="K309" s="1">
        <f>Tabla1[[#This Row],[cantidad]]*Tabla1[[#This Row],[precio_unitario]]</f>
        <v>3120887</v>
      </c>
      <c r="L309" s="1">
        <f>Tabla1[[#This Row],[cantidad]]*Tabla1[[#This Row],[costo_unitario]]</f>
        <v>2340665</v>
      </c>
      <c r="M309" s="1">
        <f>Tabla1[[#This Row],[venta_total]]-Tabla1[[#This Row],[costo_total]]</f>
        <v>780222</v>
      </c>
      <c r="N309" s="3">
        <f>Tabla1[[#This Row],[margen]]/Tabla1[[#This Row],[venta_total]]</f>
        <v>0.25000008010543157</v>
      </c>
    </row>
    <row r="310" spans="1:14" x14ac:dyDescent="0.25">
      <c r="A310" s="2">
        <v>45436</v>
      </c>
      <c r="B310" t="s">
        <v>18</v>
      </c>
      <c r="C310" t="s">
        <v>11</v>
      </c>
      <c r="D310" t="s">
        <v>38</v>
      </c>
      <c r="E310" t="s">
        <v>13</v>
      </c>
      <c r="F310" t="s">
        <v>41</v>
      </c>
      <c r="G310">
        <v>1</v>
      </c>
      <c r="H310" s="1">
        <v>7391972</v>
      </c>
      <c r="I310" s="1">
        <v>5913577</v>
      </c>
      <c r="J310" t="s">
        <v>29</v>
      </c>
      <c r="K310" s="1">
        <f>Tabla1[[#This Row],[cantidad]]*Tabla1[[#This Row],[precio_unitario]]</f>
        <v>7391972</v>
      </c>
      <c r="L310" s="1">
        <f>Tabla1[[#This Row],[cantidad]]*Tabla1[[#This Row],[costo_unitario]]</f>
        <v>5913577</v>
      </c>
      <c r="M310" s="1">
        <f>Tabla1[[#This Row],[venta_total]]-Tabla1[[#This Row],[costo_total]]</f>
        <v>1478395</v>
      </c>
      <c r="N310" s="3">
        <f>Tabla1[[#This Row],[margen]]/Tabla1[[#This Row],[venta_total]]</f>
        <v>0.20000008116913862</v>
      </c>
    </row>
    <row r="311" spans="1:14" x14ac:dyDescent="0.25">
      <c r="A311" s="2">
        <v>45444</v>
      </c>
      <c r="B311" t="s">
        <v>32</v>
      </c>
      <c r="C311" t="s">
        <v>11</v>
      </c>
      <c r="D311" t="s">
        <v>19</v>
      </c>
      <c r="E311" t="s">
        <v>20</v>
      </c>
      <c r="F311" t="s">
        <v>21</v>
      </c>
      <c r="G311">
        <v>1</v>
      </c>
      <c r="H311" s="1">
        <v>187404</v>
      </c>
      <c r="I311" s="1">
        <v>112442</v>
      </c>
      <c r="J311" t="s">
        <v>22</v>
      </c>
      <c r="K311" s="1">
        <f>Tabla1[[#This Row],[cantidad]]*Tabla1[[#This Row],[precio_unitario]]</f>
        <v>187404</v>
      </c>
      <c r="L311" s="1">
        <f>Tabla1[[#This Row],[cantidad]]*Tabla1[[#This Row],[costo_unitario]]</f>
        <v>112442</v>
      </c>
      <c r="M311" s="1">
        <f>Tabla1[[#This Row],[venta_total]]-Tabla1[[#This Row],[costo_total]]</f>
        <v>74962</v>
      </c>
      <c r="N311" s="3">
        <f>Tabla1[[#This Row],[margen]]/Tabla1[[#This Row],[venta_total]]</f>
        <v>0.40000213442615951</v>
      </c>
    </row>
    <row r="312" spans="1:14" x14ac:dyDescent="0.25">
      <c r="A312" s="2">
        <v>45319</v>
      </c>
      <c r="B312" t="s">
        <v>34</v>
      </c>
      <c r="C312" t="s">
        <v>11</v>
      </c>
      <c r="D312" t="s">
        <v>26</v>
      </c>
      <c r="E312" t="s">
        <v>20</v>
      </c>
      <c r="F312" t="s">
        <v>36</v>
      </c>
      <c r="G312">
        <v>1</v>
      </c>
      <c r="H312" s="1">
        <v>3134222</v>
      </c>
      <c r="I312" s="1">
        <v>2350666</v>
      </c>
      <c r="J312" t="s">
        <v>22</v>
      </c>
      <c r="K312" s="1">
        <f>Tabla1[[#This Row],[cantidad]]*Tabla1[[#This Row],[precio_unitario]]</f>
        <v>3134222</v>
      </c>
      <c r="L312" s="1">
        <f>Tabla1[[#This Row],[cantidad]]*Tabla1[[#This Row],[costo_unitario]]</f>
        <v>2350666</v>
      </c>
      <c r="M312" s="1">
        <f>Tabla1[[#This Row],[venta_total]]-Tabla1[[#This Row],[costo_total]]</f>
        <v>783556</v>
      </c>
      <c r="N312" s="3">
        <f>Tabla1[[#This Row],[margen]]/Tabla1[[#This Row],[venta_total]]</f>
        <v>0.25000015952922289</v>
      </c>
    </row>
    <row r="313" spans="1:14" x14ac:dyDescent="0.25">
      <c r="A313" s="2">
        <v>45431</v>
      </c>
      <c r="B313" t="s">
        <v>34</v>
      </c>
      <c r="C313" t="s">
        <v>11</v>
      </c>
      <c r="D313" t="s">
        <v>19</v>
      </c>
      <c r="E313" t="s">
        <v>13</v>
      </c>
      <c r="F313" t="s">
        <v>33</v>
      </c>
      <c r="G313">
        <v>2</v>
      </c>
      <c r="H313" s="1">
        <v>1303008</v>
      </c>
      <c r="I313" s="1">
        <v>912105</v>
      </c>
      <c r="J313" t="s">
        <v>25</v>
      </c>
      <c r="K313" s="1">
        <f>Tabla1[[#This Row],[cantidad]]*Tabla1[[#This Row],[precio_unitario]]</f>
        <v>2606016</v>
      </c>
      <c r="L313" s="1">
        <f>Tabla1[[#This Row],[cantidad]]*Tabla1[[#This Row],[costo_unitario]]</f>
        <v>1824210</v>
      </c>
      <c r="M313" s="1">
        <f>Tabla1[[#This Row],[venta_total]]-Tabla1[[#This Row],[costo_total]]</f>
        <v>781806</v>
      </c>
      <c r="N313" s="3">
        <f>Tabla1[[#This Row],[margen]]/Tabla1[[#This Row],[venta_total]]</f>
        <v>0.30000046047299789</v>
      </c>
    </row>
    <row r="314" spans="1:14" x14ac:dyDescent="0.25">
      <c r="A314" s="2">
        <v>45302</v>
      </c>
      <c r="B314" t="s">
        <v>34</v>
      </c>
      <c r="C314" t="s">
        <v>11</v>
      </c>
      <c r="D314" t="s">
        <v>23</v>
      </c>
      <c r="E314" t="s">
        <v>13</v>
      </c>
      <c r="F314" t="s">
        <v>28</v>
      </c>
      <c r="G314">
        <v>1</v>
      </c>
      <c r="H314" s="1">
        <v>3342948</v>
      </c>
      <c r="I314" s="1">
        <v>2674358</v>
      </c>
      <c r="J314" t="s">
        <v>25</v>
      </c>
      <c r="K314" s="1">
        <f>Tabla1[[#This Row],[cantidad]]*Tabla1[[#This Row],[precio_unitario]]</f>
        <v>3342948</v>
      </c>
      <c r="L314" s="1">
        <f>Tabla1[[#This Row],[cantidad]]*Tabla1[[#This Row],[costo_unitario]]</f>
        <v>2674358</v>
      </c>
      <c r="M314" s="1">
        <f>Tabla1[[#This Row],[venta_total]]-Tabla1[[#This Row],[costo_total]]</f>
        <v>668590</v>
      </c>
      <c r="N314" s="3">
        <f>Tabla1[[#This Row],[margen]]/Tabla1[[#This Row],[venta_total]]</f>
        <v>0.2000001196548675</v>
      </c>
    </row>
    <row r="315" spans="1:14" x14ac:dyDescent="0.25">
      <c r="A315" s="2">
        <v>45431</v>
      </c>
      <c r="B315" t="s">
        <v>32</v>
      </c>
      <c r="C315" t="s">
        <v>11</v>
      </c>
      <c r="D315" t="s">
        <v>12</v>
      </c>
      <c r="E315" t="s">
        <v>20</v>
      </c>
      <c r="F315" t="s">
        <v>37</v>
      </c>
      <c r="G315">
        <v>1</v>
      </c>
      <c r="H315" s="1">
        <v>2538776</v>
      </c>
      <c r="I315" s="1">
        <v>1904082</v>
      </c>
      <c r="J315" t="s">
        <v>22</v>
      </c>
      <c r="K315" s="1">
        <f>Tabla1[[#This Row],[cantidad]]*Tabla1[[#This Row],[precio_unitario]]</f>
        <v>2538776</v>
      </c>
      <c r="L315" s="1">
        <f>Tabla1[[#This Row],[cantidad]]*Tabla1[[#This Row],[costo_unitario]]</f>
        <v>1904082</v>
      </c>
      <c r="M315" s="1">
        <f>Tabla1[[#This Row],[venta_total]]-Tabla1[[#This Row],[costo_total]]</f>
        <v>634694</v>
      </c>
      <c r="N315" s="3">
        <f>Tabla1[[#This Row],[margen]]/Tabla1[[#This Row],[venta_total]]</f>
        <v>0.25</v>
      </c>
    </row>
    <row r="316" spans="1:14" x14ac:dyDescent="0.25">
      <c r="A316" s="2">
        <v>45453</v>
      </c>
      <c r="B316" t="s">
        <v>32</v>
      </c>
      <c r="C316" t="s">
        <v>11</v>
      </c>
      <c r="D316" t="s">
        <v>38</v>
      </c>
      <c r="E316" t="s">
        <v>16</v>
      </c>
      <c r="F316" t="s">
        <v>39</v>
      </c>
      <c r="G316">
        <v>1</v>
      </c>
      <c r="H316" s="1">
        <v>3769779</v>
      </c>
      <c r="I316" s="1">
        <v>2827334</v>
      </c>
      <c r="J316" t="s">
        <v>29</v>
      </c>
      <c r="K316" s="1">
        <f>Tabla1[[#This Row],[cantidad]]*Tabla1[[#This Row],[precio_unitario]]</f>
        <v>3769779</v>
      </c>
      <c r="L316" s="1">
        <f>Tabla1[[#This Row],[cantidad]]*Tabla1[[#This Row],[costo_unitario]]</f>
        <v>2827334</v>
      </c>
      <c r="M316" s="1">
        <f>Tabla1[[#This Row],[venta_total]]-Tabla1[[#This Row],[costo_total]]</f>
        <v>942445</v>
      </c>
      <c r="N316" s="3">
        <f>Tabla1[[#This Row],[margen]]/Tabla1[[#This Row],[venta_total]]</f>
        <v>0.25000006631688487</v>
      </c>
    </row>
    <row r="317" spans="1:14" x14ac:dyDescent="0.25">
      <c r="A317" s="2">
        <v>45347</v>
      </c>
      <c r="B317" t="s">
        <v>18</v>
      </c>
      <c r="C317" t="s">
        <v>11</v>
      </c>
      <c r="D317" t="s">
        <v>38</v>
      </c>
      <c r="E317" t="s">
        <v>20</v>
      </c>
      <c r="F317" t="s">
        <v>42</v>
      </c>
      <c r="G317">
        <v>1</v>
      </c>
      <c r="H317" s="1">
        <v>2429789</v>
      </c>
      <c r="I317" s="1">
        <v>1749448</v>
      </c>
      <c r="J317" t="s">
        <v>31</v>
      </c>
      <c r="K317" s="1">
        <f>Tabla1[[#This Row],[cantidad]]*Tabla1[[#This Row],[precio_unitario]]</f>
        <v>2429789</v>
      </c>
      <c r="L317" s="1">
        <f>Tabla1[[#This Row],[cantidad]]*Tabla1[[#This Row],[costo_unitario]]</f>
        <v>1749448</v>
      </c>
      <c r="M317" s="1">
        <f>Tabla1[[#This Row],[venta_total]]-Tabla1[[#This Row],[costo_total]]</f>
        <v>680341</v>
      </c>
      <c r="N317" s="3">
        <f>Tabla1[[#This Row],[margen]]/Tabla1[[#This Row],[venta_total]]</f>
        <v>0.28000003292466957</v>
      </c>
    </row>
    <row r="318" spans="1:14" x14ac:dyDescent="0.25">
      <c r="A318" s="2">
        <v>45296</v>
      </c>
      <c r="B318" t="s">
        <v>18</v>
      </c>
      <c r="C318" t="s">
        <v>11</v>
      </c>
      <c r="D318" t="s">
        <v>38</v>
      </c>
      <c r="E318" t="s">
        <v>16</v>
      </c>
      <c r="F318" t="s">
        <v>39</v>
      </c>
      <c r="G318">
        <v>1</v>
      </c>
      <c r="H318" s="1">
        <v>5147862</v>
      </c>
      <c r="I318" s="1">
        <v>3860896</v>
      </c>
      <c r="J318" t="s">
        <v>25</v>
      </c>
      <c r="K318" s="1">
        <f>Tabla1[[#This Row],[cantidad]]*Tabla1[[#This Row],[precio_unitario]]</f>
        <v>5147862</v>
      </c>
      <c r="L318" s="1">
        <f>Tabla1[[#This Row],[cantidad]]*Tabla1[[#This Row],[costo_unitario]]</f>
        <v>3860896</v>
      </c>
      <c r="M318" s="1">
        <f>Tabla1[[#This Row],[venta_total]]-Tabla1[[#This Row],[costo_total]]</f>
        <v>1286966</v>
      </c>
      <c r="N318" s="3">
        <f>Tabla1[[#This Row],[margen]]/Tabla1[[#This Row],[venta_total]]</f>
        <v>0.25000009712770077</v>
      </c>
    </row>
    <row r="319" spans="1:14" x14ac:dyDescent="0.25">
      <c r="A319" s="2">
        <v>45396</v>
      </c>
      <c r="B319" t="s">
        <v>10</v>
      </c>
      <c r="C319" t="s">
        <v>11</v>
      </c>
      <c r="D319" t="s">
        <v>26</v>
      </c>
      <c r="E319" t="s">
        <v>13</v>
      </c>
      <c r="F319" t="s">
        <v>27</v>
      </c>
      <c r="G319">
        <v>1</v>
      </c>
      <c r="H319" s="1">
        <v>8534733</v>
      </c>
      <c r="I319" s="1">
        <v>6827786</v>
      </c>
      <c r="J319" t="s">
        <v>25</v>
      </c>
      <c r="K319" s="1">
        <f>Tabla1[[#This Row],[cantidad]]*Tabla1[[#This Row],[precio_unitario]]</f>
        <v>8534733</v>
      </c>
      <c r="L319" s="1">
        <f>Tabla1[[#This Row],[cantidad]]*Tabla1[[#This Row],[costo_unitario]]</f>
        <v>6827786</v>
      </c>
      <c r="M319" s="1">
        <f>Tabla1[[#This Row],[venta_total]]-Tabla1[[#This Row],[costo_total]]</f>
        <v>1706947</v>
      </c>
      <c r="N319" s="3">
        <f>Tabla1[[#This Row],[margen]]/Tabla1[[#This Row],[venta_total]]</f>
        <v>0.20000004686731265</v>
      </c>
    </row>
    <row r="320" spans="1:14" x14ac:dyDescent="0.25">
      <c r="A320" s="2">
        <v>45454</v>
      </c>
      <c r="B320" t="s">
        <v>34</v>
      </c>
      <c r="C320" t="s">
        <v>11</v>
      </c>
      <c r="D320" t="s">
        <v>19</v>
      </c>
      <c r="E320" t="s">
        <v>13</v>
      </c>
      <c r="F320" t="s">
        <v>33</v>
      </c>
      <c r="G320">
        <v>1</v>
      </c>
      <c r="H320" s="1">
        <v>1724739</v>
      </c>
      <c r="I320" s="1">
        <v>1207317</v>
      </c>
      <c r="J320" t="s">
        <v>25</v>
      </c>
      <c r="K320" s="1">
        <f>Tabla1[[#This Row],[cantidad]]*Tabla1[[#This Row],[precio_unitario]]</f>
        <v>1724739</v>
      </c>
      <c r="L320" s="1">
        <f>Tabla1[[#This Row],[cantidad]]*Tabla1[[#This Row],[costo_unitario]]</f>
        <v>1207317</v>
      </c>
      <c r="M320" s="1">
        <f>Tabla1[[#This Row],[venta_total]]-Tabla1[[#This Row],[costo_total]]</f>
        <v>517422</v>
      </c>
      <c r="N320" s="3">
        <f>Tabla1[[#This Row],[margen]]/Tabla1[[#This Row],[venta_total]]</f>
        <v>0.30000017393936124</v>
      </c>
    </row>
    <row r="321" spans="1:14" x14ac:dyDescent="0.25">
      <c r="A321" s="2">
        <v>45453</v>
      </c>
      <c r="B321" t="s">
        <v>18</v>
      </c>
      <c r="C321" t="s">
        <v>11</v>
      </c>
      <c r="D321" t="s">
        <v>19</v>
      </c>
      <c r="E321" t="s">
        <v>20</v>
      </c>
      <c r="F321" t="s">
        <v>21</v>
      </c>
      <c r="G321">
        <v>3</v>
      </c>
      <c r="H321" s="1">
        <v>258427</v>
      </c>
      <c r="I321" s="1">
        <v>155056</v>
      </c>
      <c r="J321" t="s">
        <v>22</v>
      </c>
      <c r="K321" s="1">
        <f>Tabla1[[#This Row],[cantidad]]*Tabla1[[#This Row],[precio_unitario]]</f>
        <v>775281</v>
      </c>
      <c r="L321" s="1">
        <f>Tabla1[[#This Row],[cantidad]]*Tabla1[[#This Row],[costo_unitario]]</f>
        <v>465168</v>
      </c>
      <c r="M321" s="1">
        <f>Tabla1[[#This Row],[venta_total]]-Tabla1[[#This Row],[costo_total]]</f>
        <v>310113</v>
      </c>
      <c r="N321" s="3">
        <f>Tabla1[[#This Row],[margen]]/Tabla1[[#This Row],[venta_total]]</f>
        <v>0.40000077391294253</v>
      </c>
    </row>
    <row r="322" spans="1:14" x14ac:dyDescent="0.25">
      <c r="A322" s="2">
        <v>45436</v>
      </c>
      <c r="B322" t="s">
        <v>34</v>
      </c>
      <c r="C322" t="s">
        <v>11</v>
      </c>
      <c r="D322" t="s">
        <v>26</v>
      </c>
      <c r="E322" t="s">
        <v>16</v>
      </c>
      <c r="F322" t="s">
        <v>40</v>
      </c>
      <c r="G322">
        <v>1</v>
      </c>
      <c r="H322" s="1">
        <v>3490470</v>
      </c>
      <c r="I322" s="1">
        <v>2722566</v>
      </c>
      <c r="J322" t="s">
        <v>22</v>
      </c>
      <c r="K322" s="1">
        <f>Tabla1[[#This Row],[cantidad]]*Tabla1[[#This Row],[precio_unitario]]</f>
        <v>3490470</v>
      </c>
      <c r="L322" s="1">
        <f>Tabla1[[#This Row],[cantidad]]*Tabla1[[#This Row],[costo_unitario]]</f>
        <v>2722566</v>
      </c>
      <c r="M322" s="1">
        <f>Tabla1[[#This Row],[venta_total]]-Tabla1[[#This Row],[costo_total]]</f>
        <v>767904</v>
      </c>
      <c r="N322" s="3">
        <f>Tabla1[[#This Row],[margen]]/Tabla1[[#This Row],[venta_total]]</f>
        <v>0.22000017189662138</v>
      </c>
    </row>
    <row r="323" spans="1:14" x14ac:dyDescent="0.25">
      <c r="A323" s="2">
        <v>45429</v>
      </c>
      <c r="B323" t="s">
        <v>10</v>
      </c>
      <c r="C323" t="s">
        <v>11</v>
      </c>
      <c r="D323" t="s">
        <v>19</v>
      </c>
      <c r="E323" t="s">
        <v>20</v>
      </c>
      <c r="F323" t="s">
        <v>21</v>
      </c>
      <c r="G323">
        <v>3</v>
      </c>
      <c r="H323" s="1">
        <v>366228</v>
      </c>
      <c r="I323" s="1">
        <v>219736</v>
      </c>
      <c r="J323" t="s">
        <v>29</v>
      </c>
      <c r="K323" s="1">
        <f>Tabla1[[#This Row],[cantidad]]*Tabla1[[#This Row],[precio_unitario]]</f>
        <v>1098684</v>
      </c>
      <c r="L323" s="1">
        <f>Tabla1[[#This Row],[cantidad]]*Tabla1[[#This Row],[costo_unitario]]</f>
        <v>659208</v>
      </c>
      <c r="M323" s="1">
        <f>Tabla1[[#This Row],[venta_total]]-Tabla1[[#This Row],[costo_total]]</f>
        <v>439476</v>
      </c>
      <c r="N323" s="3">
        <f>Tabla1[[#This Row],[margen]]/Tabla1[[#This Row],[venta_total]]</f>
        <v>0.40000218443155627</v>
      </c>
    </row>
    <row r="324" spans="1:14" x14ac:dyDescent="0.25">
      <c r="A324" s="2">
        <v>45307</v>
      </c>
      <c r="B324" t="s">
        <v>18</v>
      </c>
      <c r="C324" t="s">
        <v>11</v>
      </c>
      <c r="D324" t="s">
        <v>12</v>
      </c>
      <c r="E324" t="s">
        <v>16</v>
      </c>
      <c r="F324" t="s">
        <v>17</v>
      </c>
      <c r="G324">
        <v>1</v>
      </c>
      <c r="H324" s="1">
        <v>3326146</v>
      </c>
      <c r="I324" s="1">
        <v>2594393</v>
      </c>
      <c r="J324" t="s">
        <v>31</v>
      </c>
      <c r="K324" s="1">
        <f>Tabla1[[#This Row],[cantidad]]*Tabla1[[#This Row],[precio_unitario]]</f>
        <v>3326146</v>
      </c>
      <c r="L324" s="1">
        <f>Tabla1[[#This Row],[cantidad]]*Tabla1[[#This Row],[costo_unitario]]</f>
        <v>2594393</v>
      </c>
      <c r="M324" s="1">
        <f>Tabla1[[#This Row],[venta_total]]-Tabla1[[#This Row],[costo_total]]</f>
        <v>731753</v>
      </c>
      <c r="N324" s="3">
        <f>Tabla1[[#This Row],[margen]]/Tabla1[[#This Row],[venta_total]]</f>
        <v>0.22000026457046684</v>
      </c>
    </row>
    <row r="325" spans="1:14" x14ac:dyDescent="0.25">
      <c r="A325" s="2">
        <v>45468</v>
      </c>
      <c r="B325" t="s">
        <v>18</v>
      </c>
      <c r="C325" t="s">
        <v>11</v>
      </c>
      <c r="D325" t="s">
        <v>26</v>
      </c>
      <c r="E325" t="s">
        <v>20</v>
      </c>
      <c r="F325" t="s">
        <v>36</v>
      </c>
      <c r="G325">
        <v>1</v>
      </c>
      <c r="H325" s="1">
        <v>2244906</v>
      </c>
      <c r="I325" s="1">
        <v>1683679</v>
      </c>
      <c r="J325" t="s">
        <v>22</v>
      </c>
      <c r="K325" s="1">
        <f>Tabla1[[#This Row],[cantidad]]*Tabla1[[#This Row],[precio_unitario]]</f>
        <v>2244906</v>
      </c>
      <c r="L325" s="1">
        <f>Tabla1[[#This Row],[cantidad]]*Tabla1[[#This Row],[costo_unitario]]</f>
        <v>1683679</v>
      </c>
      <c r="M325" s="1">
        <f>Tabla1[[#This Row],[venta_total]]-Tabla1[[#This Row],[costo_total]]</f>
        <v>561227</v>
      </c>
      <c r="N325" s="3">
        <f>Tabla1[[#This Row],[margen]]/Tabla1[[#This Row],[venta_total]]</f>
        <v>0.25000022272647499</v>
      </c>
    </row>
    <row r="326" spans="1:14" x14ac:dyDescent="0.25">
      <c r="A326" s="2">
        <v>45424</v>
      </c>
      <c r="B326" t="s">
        <v>32</v>
      </c>
      <c r="C326" t="s">
        <v>11</v>
      </c>
      <c r="D326" t="s">
        <v>12</v>
      </c>
      <c r="E326" t="s">
        <v>20</v>
      </c>
      <c r="F326" t="s">
        <v>37</v>
      </c>
      <c r="G326">
        <v>1</v>
      </c>
      <c r="H326" s="1">
        <v>2659848</v>
      </c>
      <c r="I326" s="1">
        <v>1994886</v>
      </c>
      <c r="J326" t="s">
        <v>22</v>
      </c>
      <c r="K326" s="1">
        <f>Tabla1[[#This Row],[cantidad]]*Tabla1[[#This Row],[precio_unitario]]</f>
        <v>2659848</v>
      </c>
      <c r="L326" s="1">
        <f>Tabla1[[#This Row],[cantidad]]*Tabla1[[#This Row],[costo_unitario]]</f>
        <v>1994886</v>
      </c>
      <c r="M326" s="1">
        <f>Tabla1[[#This Row],[venta_total]]-Tabla1[[#This Row],[costo_total]]</f>
        <v>664962</v>
      </c>
      <c r="N326" s="3">
        <f>Tabla1[[#This Row],[margen]]/Tabla1[[#This Row],[venta_total]]</f>
        <v>0.25</v>
      </c>
    </row>
    <row r="327" spans="1:14" x14ac:dyDescent="0.25">
      <c r="A327" s="2">
        <v>45321</v>
      </c>
      <c r="B327" t="s">
        <v>34</v>
      </c>
      <c r="C327" t="s">
        <v>11</v>
      </c>
      <c r="D327" t="s">
        <v>12</v>
      </c>
      <c r="E327" t="s">
        <v>13</v>
      </c>
      <c r="F327" t="s">
        <v>14</v>
      </c>
      <c r="G327">
        <v>1</v>
      </c>
      <c r="H327" s="1">
        <v>4654768</v>
      </c>
      <c r="I327" s="1">
        <v>3723814</v>
      </c>
      <c r="J327" t="s">
        <v>29</v>
      </c>
      <c r="K327" s="1">
        <f>Tabla1[[#This Row],[cantidad]]*Tabla1[[#This Row],[precio_unitario]]</f>
        <v>4654768</v>
      </c>
      <c r="L327" s="1">
        <f>Tabla1[[#This Row],[cantidad]]*Tabla1[[#This Row],[costo_unitario]]</f>
        <v>3723814</v>
      </c>
      <c r="M327" s="1">
        <f>Tabla1[[#This Row],[venta_total]]-Tabla1[[#This Row],[costo_total]]</f>
        <v>930954</v>
      </c>
      <c r="N327" s="3">
        <f>Tabla1[[#This Row],[margen]]/Tabla1[[#This Row],[venta_total]]</f>
        <v>0.2000000859333913</v>
      </c>
    </row>
    <row r="328" spans="1:14" x14ac:dyDescent="0.25">
      <c r="A328" s="2">
        <v>45407</v>
      </c>
      <c r="B328" t="s">
        <v>32</v>
      </c>
      <c r="C328" t="s">
        <v>11</v>
      </c>
      <c r="D328" t="s">
        <v>19</v>
      </c>
      <c r="E328" t="s">
        <v>20</v>
      </c>
      <c r="F328" t="s">
        <v>21</v>
      </c>
      <c r="G328">
        <v>2</v>
      </c>
      <c r="H328" s="1">
        <v>565212</v>
      </c>
      <c r="I328" s="1">
        <v>339127</v>
      </c>
      <c r="J328" t="s">
        <v>31</v>
      </c>
      <c r="K328" s="1">
        <f>Tabla1[[#This Row],[cantidad]]*Tabla1[[#This Row],[precio_unitario]]</f>
        <v>1130424</v>
      </c>
      <c r="L328" s="1">
        <f>Tabla1[[#This Row],[cantidad]]*Tabla1[[#This Row],[costo_unitario]]</f>
        <v>678254</v>
      </c>
      <c r="M328" s="1">
        <f>Tabla1[[#This Row],[venta_total]]-Tabla1[[#This Row],[costo_total]]</f>
        <v>452170</v>
      </c>
      <c r="N328" s="3">
        <f>Tabla1[[#This Row],[margen]]/Tabla1[[#This Row],[venta_total]]</f>
        <v>0.40000035384952903</v>
      </c>
    </row>
    <row r="329" spans="1:14" x14ac:dyDescent="0.25">
      <c r="A329" s="2">
        <v>45318</v>
      </c>
      <c r="B329" t="s">
        <v>18</v>
      </c>
      <c r="C329" t="s">
        <v>11</v>
      </c>
      <c r="D329" t="s">
        <v>38</v>
      </c>
      <c r="E329" t="s">
        <v>16</v>
      </c>
      <c r="F329" t="s">
        <v>39</v>
      </c>
      <c r="G329">
        <v>1</v>
      </c>
      <c r="H329" s="1">
        <v>5713122</v>
      </c>
      <c r="I329" s="1">
        <v>4284841</v>
      </c>
      <c r="J329" t="s">
        <v>29</v>
      </c>
      <c r="K329" s="1">
        <f>Tabla1[[#This Row],[cantidad]]*Tabla1[[#This Row],[precio_unitario]]</f>
        <v>5713122</v>
      </c>
      <c r="L329" s="1">
        <f>Tabla1[[#This Row],[cantidad]]*Tabla1[[#This Row],[costo_unitario]]</f>
        <v>4284841</v>
      </c>
      <c r="M329" s="1">
        <f>Tabla1[[#This Row],[venta_total]]-Tabla1[[#This Row],[costo_total]]</f>
        <v>1428281</v>
      </c>
      <c r="N329" s="3">
        <f>Tabla1[[#This Row],[margen]]/Tabla1[[#This Row],[venta_total]]</f>
        <v>0.25000008751782299</v>
      </c>
    </row>
    <row r="330" spans="1:14" x14ac:dyDescent="0.25">
      <c r="A330" s="2">
        <v>45311</v>
      </c>
      <c r="B330" t="s">
        <v>10</v>
      </c>
      <c r="C330" t="s">
        <v>11</v>
      </c>
      <c r="D330" t="s">
        <v>19</v>
      </c>
      <c r="E330" t="s">
        <v>16</v>
      </c>
      <c r="F330" t="s">
        <v>35</v>
      </c>
      <c r="G330">
        <v>2</v>
      </c>
      <c r="H330" s="1">
        <v>956858</v>
      </c>
      <c r="I330" s="1">
        <v>621957</v>
      </c>
      <c r="J330" t="s">
        <v>29</v>
      </c>
      <c r="K330" s="1">
        <f>Tabla1[[#This Row],[cantidad]]*Tabla1[[#This Row],[precio_unitario]]</f>
        <v>1913716</v>
      </c>
      <c r="L330" s="1">
        <f>Tabla1[[#This Row],[cantidad]]*Tabla1[[#This Row],[costo_unitario]]</f>
        <v>1243914</v>
      </c>
      <c r="M330" s="1">
        <f>Tabla1[[#This Row],[venta_total]]-Tabla1[[#This Row],[costo_total]]</f>
        <v>669802</v>
      </c>
      <c r="N330" s="3">
        <f>Tabla1[[#This Row],[margen]]/Tabla1[[#This Row],[venta_total]]</f>
        <v>0.35000073156100486</v>
      </c>
    </row>
    <row r="331" spans="1:14" x14ac:dyDescent="0.25">
      <c r="A331" s="2">
        <v>45373</v>
      </c>
      <c r="B331" t="s">
        <v>10</v>
      </c>
      <c r="C331" t="s">
        <v>11</v>
      </c>
      <c r="D331" t="s">
        <v>38</v>
      </c>
      <c r="E331" t="s">
        <v>20</v>
      </c>
      <c r="F331" t="s">
        <v>42</v>
      </c>
      <c r="G331">
        <v>1</v>
      </c>
      <c r="H331" s="1">
        <v>3028502</v>
      </c>
      <c r="I331" s="1">
        <v>2180521</v>
      </c>
      <c r="J331" t="s">
        <v>25</v>
      </c>
      <c r="K331" s="1">
        <f>Tabla1[[#This Row],[cantidad]]*Tabla1[[#This Row],[precio_unitario]]</f>
        <v>3028502</v>
      </c>
      <c r="L331" s="1">
        <f>Tabla1[[#This Row],[cantidad]]*Tabla1[[#This Row],[costo_unitario]]</f>
        <v>2180521</v>
      </c>
      <c r="M331" s="1">
        <f>Tabla1[[#This Row],[venta_total]]-Tabla1[[#This Row],[costo_total]]</f>
        <v>847981</v>
      </c>
      <c r="N331" s="3">
        <f>Tabla1[[#This Row],[margen]]/Tabla1[[#This Row],[venta_total]]</f>
        <v>0.28000014528634948</v>
      </c>
    </row>
    <row r="332" spans="1:14" x14ac:dyDescent="0.25">
      <c r="A332" s="2">
        <v>45460</v>
      </c>
      <c r="B332" t="s">
        <v>18</v>
      </c>
      <c r="C332" t="s">
        <v>11</v>
      </c>
      <c r="D332" t="s">
        <v>12</v>
      </c>
      <c r="E332" t="s">
        <v>20</v>
      </c>
      <c r="F332" t="s">
        <v>37</v>
      </c>
      <c r="G332">
        <v>1</v>
      </c>
      <c r="H332" s="1">
        <v>2203807</v>
      </c>
      <c r="I332" s="1">
        <v>1652855</v>
      </c>
      <c r="J332" t="s">
        <v>22</v>
      </c>
      <c r="K332" s="1">
        <f>Tabla1[[#This Row],[cantidad]]*Tabla1[[#This Row],[precio_unitario]]</f>
        <v>2203807</v>
      </c>
      <c r="L332" s="1">
        <f>Tabla1[[#This Row],[cantidad]]*Tabla1[[#This Row],[costo_unitario]]</f>
        <v>1652855</v>
      </c>
      <c r="M332" s="1">
        <f>Tabla1[[#This Row],[venta_total]]-Tabla1[[#This Row],[costo_total]]</f>
        <v>550952</v>
      </c>
      <c r="N332" s="3">
        <f>Tabla1[[#This Row],[margen]]/Tabla1[[#This Row],[venta_total]]</f>
        <v>0.25000011344006079</v>
      </c>
    </row>
    <row r="333" spans="1:14" x14ac:dyDescent="0.25">
      <c r="A333" s="2">
        <v>45360</v>
      </c>
      <c r="B333" t="s">
        <v>34</v>
      </c>
      <c r="C333" t="s">
        <v>11</v>
      </c>
      <c r="D333" t="s">
        <v>23</v>
      </c>
      <c r="E333" t="s">
        <v>20</v>
      </c>
      <c r="F333" t="s">
        <v>30</v>
      </c>
      <c r="G333">
        <v>1</v>
      </c>
      <c r="H333" s="1">
        <v>1045261</v>
      </c>
      <c r="I333" s="1">
        <v>731682</v>
      </c>
      <c r="J333" t="s">
        <v>15</v>
      </c>
      <c r="K333" s="1">
        <f>Tabla1[[#This Row],[cantidad]]*Tabla1[[#This Row],[precio_unitario]]</f>
        <v>1045261</v>
      </c>
      <c r="L333" s="1">
        <f>Tabla1[[#This Row],[cantidad]]*Tabla1[[#This Row],[costo_unitario]]</f>
        <v>731682</v>
      </c>
      <c r="M333" s="1">
        <f>Tabla1[[#This Row],[venta_total]]-Tabla1[[#This Row],[costo_total]]</f>
        <v>313579</v>
      </c>
      <c r="N333" s="3">
        <f>Tabla1[[#This Row],[margen]]/Tabla1[[#This Row],[venta_total]]</f>
        <v>0.30000066968919725</v>
      </c>
    </row>
    <row r="334" spans="1:14" x14ac:dyDescent="0.25">
      <c r="A334" s="2">
        <v>45351</v>
      </c>
      <c r="B334" t="s">
        <v>18</v>
      </c>
      <c r="C334" t="s">
        <v>11</v>
      </c>
      <c r="D334" t="s">
        <v>23</v>
      </c>
      <c r="E334" t="s">
        <v>20</v>
      </c>
      <c r="F334" t="s">
        <v>30</v>
      </c>
      <c r="G334">
        <v>1</v>
      </c>
      <c r="H334" s="1">
        <v>1065023</v>
      </c>
      <c r="I334" s="1">
        <v>745516</v>
      </c>
      <c r="J334" t="s">
        <v>29</v>
      </c>
      <c r="K334" s="1">
        <f>Tabla1[[#This Row],[cantidad]]*Tabla1[[#This Row],[precio_unitario]]</f>
        <v>1065023</v>
      </c>
      <c r="L334" s="1">
        <f>Tabla1[[#This Row],[cantidad]]*Tabla1[[#This Row],[costo_unitario]]</f>
        <v>745516</v>
      </c>
      <c r="M334" s="1">
        <f>Tabla1[[#This Row],[venta_total]]-Tabla1[[#This Row],[costo_total]]</f>
        <v>319507</v>
      </c>
      <c r="N334" s="3">
        <f>Tabla1[[#This Row],[margen]]/Tabla1[[#This Row],[venta_total]]</f>
        <v>0.30000009389468585</v>
      </c>
    </row>
    <row r="335" spans="1:14" x14ac:dyDescent="0.25">
      <c r="A335" s="2">
        <v>45297</v>
      </c>
      <c r="B335" t="s">
        <v>10</v>
      </c>
      <c r="C335" t="s">
        <v>11</v>
      </c>
      <c r="D335" t="s">
        <v>38</v>
      </c>
      <c r="E335" t="s">
        <v>20</v>
      </c>
      <c r="F335" t="s">
        <v>42</v>
      </c>
      <c r="G335">
        <v>1</v>
      </c>
      <c r="H335" s="1">
        <v>3495551</v>
      </c>
      <c r="I335" s="1">
        <v>2516796</v>
      </c>
      <c r="J335" t="s">
        <v>31</v>
      </c>
      <c r="K335" s="1">
        <f>Tabla1[[#This Row],[cantidad]]*Tabla1[[#This Row],[precio_unitario]]</f>
        <v>3495551</v>
      </c>
      <c r="L335" s="1">
        <f>Tabla1[[#This Row],[cantidad]]*Tabla1[[#This Row],[costo_unitario]]</f>
        <v>2516796</v>
      </c>
      <c r="M335" s="1">
        <f>Tabla1[[#This Row],[venta_total]]-Tabla1[[#This Row],[costo_total]]</f>
        <v>978755</v>
      </c>
      <c r="N335" s="3">
        <f>Tabla1[[#This Row],[margen]]/Tabla1[[#This Row],[venta_total]]</f>
        <v>0.28000020597611075</v>
      </c>
    </row>
    <row r="336" spans="1:14" x14ac:dyDescent="0.25">
      <c r="A336" s="2">
        <v>45327</v>
      </c>
      <c r="B336" t="s">
        <v>32</v>
      </c>
      <c r="C336" t="s">
        <v>11</v>
      </c>
      <c r="D336" t="s">
        <v>26</v>
      </c>
      <c r="E336" t="s">
        <v>16</v>
      </c>
      <c r="F336" t="s">
        <v>40</v>
      </c>
      <c r="G336">
        <v>1</v>
      </c>
      <c r="H336" s="1">
        <v>4386869</v>
      </c>
      <c r="I336" s="1">
        <v>3421757</v>
      </c>
      <c r="J336" t="s">
        <v>31</v>
      </c>
      <c r="K336" s="1">
        <f>Tabla1[[#This Row],[cantidad]]*Tabla1[[#This Row],[precio_unitario]]</f>
        <v>4386869</v>
      </c>
      <c r="L336" s="1">
        <f>Tabla1[[#This Row],[cantidad]]*Tabla1[[#This Row],[costo_unitario]]</f>
        <v>3421757</v>
      </c>
      <c r="M336" s="1">
        <f>Tabla1[[#This Row],[venta_total]]-Tabla1[[#This Row],[costo_total]]</f>
        <v>965112</v>
      </c>
      <c r="N336" s="3">
        <f>Tabla1[[#This Row],[margen]]/Tabla1[[#This Row],[venta_total]]</f>
        <v>0.2200001869214695</v>
      </c>
    </row>
    <row r="337" spans="1:14" x14ac:dyDescent="0.25">
      <c r="A337" s="2">
        <v>45449</v>
      </c>
      <c r="B337" t="s">
        <v>32</v>
      </c>
      <c r="C337" t="s">
        <v>11</v>
      </c>
      <c r="D337" t="s">
        <v>19</v>
      </c>
      <c r="E337" t="s">
        <v>16</v>
      </c>
      <c r="F337" t="s">
        <v>35</v>
      </c>
      <c r="G337">
        <v>3</v>
      </c>
      <c r="H337" s="1">
        <v>1038245</v>
      </c>
      <c r="I337" s="1">
        <v>674859</v>
      </c>
      <c r="J337" t="s">
        <v>22</v>
      </c>
      <c r="K337" s="1">
        <f>Tabla1[[#This Row],[cantidad]]*Tabla1[[#This Row],[precio_unitario]]</f>
        <v>3114735</v>
      </c>
      <c r="L337" s="1">
        <f>Tabla1[[#This Row],[cantidad]]*Tabla1[[#This Row],[costo_unitario]]</f>
        <v>2024577</v>
      </c>
      <c r="M337" s="1">
        <f>Tabla1[[#This Row],[venta_total]]-Tabla1[[#This Row],[costo_total]]</f>
        <v>1090158</v>
      </c>
      <c r="N337" s="3">
        <f>Tabla1[[#This Row],[margen]]/Tabla1[[#This Row],[venta_total]]</f>
        <v>0.3500002407909501</v>
      </c>
    </row>
    <row r="338" spans="1:14" x14ac:dyDescent="0.25">
      <c r="A338" s="2">
        <v>45389</v>
      </c>
      <c r="B338" t="s">
        <v>18</v>
      </c>
      <c r="C338" t="s">
        <v>11</v>
      </c>
      <c r="D338" t="s">
        <v>19</v>
      </c>
      <c r="E338" t="s">
        <v>16</v>
      </c>
      <c r="F338" t="s">
        <v>35</v>
      </c>
      <c r="G338">
        <v>1</v>
      </c>
      <c r="H338" s="1">
        <v>717954</v>
      </c>
      <c r="I338" s="1">
        <v>466670</v>
      </c>
      <c r="J338" t="s">
        <v>22</v>
      </c>
      <c r="K338" s="1">
        <f>Tabla1[[#This Row],[cantidad]]*Tabla1[[#This Row],[precio_unitario]]</f>
        <v>717954</v>
      </c>
      <c r="L338" s="1">
        <f>Tabla1[[#This Row],[cantidad]]*Tabla1[[#This Row],[costo_unitario]]</f>
        <v>466670</v>
      </c>
      <c r="M338" s="1">
        <f>Tabla1[[#This Row],[venta_total]]-Tabla1[[#This Row],[costo_total]]</f>
        <v>251284</v>
      </c>
      <c r="N338" s="3">
        <f>Tabla1[[#This Row],[margen]]/Tabla1[[#This Row],[venta_total]]</f>
        <v>0.35000013928468954</v>
      </c>
    </row>
    <row r="339" spans="1:14" x14ac:dyDescent="0.25">
      <c r="A339" s="2">
        <v>45332</v>
      </c>
      <c r="B339" t="s">
        <v>32</v>
      </c>
      <c r="C339" t="s">
        <v>11</v>
      </c>
      <c r="D339" t="s">
        <v>23</v>
      </c>
      <c r="E339" t="s">
        <v>13</v>
      </c>
      <c r="F339" t="s">
        <v>28</v>
      </c>
      <c r="G339">
        <v>1</v>
      </c>
      <c r="H339" s="1">
        <v>2971004</v>
      </c>
      <c r="I339" s="1">
        <v>2376803</v>
      </c>
      <c r="J339" t="s">
        <v>15</v>
      </c>
      <c r="K339" s="1">
        <f>Tabla1[[#This Row],[cantidad]]*Tabla1[[#This Row],[precio_unitario]]</f>
        <v>2971004</v>
      </c>
      <c r="L339" s="1">
        <f>Tabla1[[#This Row],[cantidad]]*Tabla1[[#This Row],[costo_unitario]]</f>
        <v>2376803</v>
      </c>
      <c r="M339" s="1">
        <f>Tabla1[[#This Row],[venta_total]]-Tabla1[[#This Row],[costo_total]]</f>
        <v>594201</v>
      </c>
      <c r="N339" s="3">
        <f>Tabla1[[#This Row],[margen]]/Tabla1[[#This Row],[venta_total]]</f>
        <v>0.2000000673173109</v>
      </c>
    </row>
    <row r="340" spans="1:14" x14ac:dyDescent="0.25">
      <c r="A340" s="2">
        <v>45315</v>
      </c>
      <c r="B340" t="s">
        <v>34</v>
      </c>
      <c r="C340" t="s">
        <v>11</v>
      </c>
      <c r="D340" t="s">
        <v>12</v>
      </c>
      <c r="E340" t="s">
        <v>20</v>
      </c>
      <c r="F340" t="s">
        <v>37</v>
      </c>
      <c r="G340">
        <v>1</v>
      </c>
      <c r="H340" s="1">
        <v>2586520</v>
      </c>
      <c r="I340" s="1">
        <v>1939890</v>
      </c>
      <c r="J340" t="s">
        <v>29</v>
      </c>
      <c r="K340" s="1">
        <f>Tabla1[[#This Row],[cantidad]]*Tabla1[[#This Row],[precio_unitario]]</f>
        <v>2586520</v>
      </c>
      <c r="L340" s="1">
        <f>Tabla1[[#This Row],[cantidad]]*Tabla1[[#This Row],[costo_unitario]]</f>
        <v>1939890</v>
      </c>
      <c r="M340" s="1">
        <f>Tabla1[[#This Row],[venta_total]]-Tabla1[[#This Row],[costo_total]]</f>
        <v>646630</v>
      </c>
      <c r="N340" s="3">
        <f>Tabla1[[#This Row],[margen]]/Tabla1[[#This Row],[venta_total]]</f>
        <v>0.25</v>
      </c>
    </row>
    <row r="341" spans="1:14" x14ac:dyDescent="0.25">
      <c r="A341" s="2">
        <v>45395</v>
      </c>
      <c r="B341" t="s">
        <v>32</v>
      </c>
      <c r="C341" t="s">
        <v>11</v>
      </c>
      <c r="D341" t="s">
        <v>23</v>
      </c>
      <c r="E341" t="s">
        <v>20</v>
      </c>
      <c r="F341" t="s">
        <v>30</v>
      </c>
      <c r="G341">
        <v>1</v>
      </c>
      <c r="H341" s="1">
        <v>993787</v>
      </c>
      <c r="I341" s="1">
        <v>695650</v>
      </c>
      <c r="J341" t="s">
        <v>31</v>
      </c>
      <c r="K341" s="1">
        <f>Tabla1[[#This Row],[cantidad]]*Tabla1[[#This Row],[precio_unitario]]</f>
        <v>993787</v>
      </c>
      <c r="L341" s="1">
        <f>Tabla1[[#This Row],[cantidad]]*Tabla1[[#This Row],[costo_unitario]]</f>
        <v>695650</v>
      </c>
      <c r="M341" s="1">
        <f>Tabla1[[#This Row],[venta_total]]-Tabla1[[#This Row],[costo_total]]</f>
        <v>298137</v>
      </c>
      <c r="N341" s="3">
        <f>Tabla1[[#This Row],[margen]]/Tabla1[[#This Row],[venta_total]]</f>
        <v>0.30000090562665843</v>
      </c>
    </row>
    <row r="342" spans="1:14" x14ac:dyDescent="0.25">
      <c r="A342" s="2">
        <v>45398</v>
      </c>
      <c r="B342" t="s">
        <v>18</v>
      </c>
      <c r="C342" t="s">
        <v>11</v>
      </c>
      <c r="D342" t="s">
        <v>38</v>
      </c>
      <c r="E342" t="s">
        <v>13</v>
      </c>
      <c r="F342" t="s">
        <v>41</v>
      </c>
      <c r="G342">
        <v>1</v>
      </c>
      <c r="H342" s="1">
        <v>7668341</v>
      </c>
      <c r="I342" s="1">
        <v>6134672</v>
      </c>
      <c r="J342" t="s">
        <v>31</v>
      </c>
      <c r="K342" s="1">
        <f>Tabla1[[#This Row],[cantidad]]*Tabla1[[#This Row],[precio_unitario]]</f>
        <v>7668341</v>
      </c>
      <c r="L342" s="1">
        <f>Tabla1[[#This Row],[cantidad]]*Tabla1[[#This Row],[costo_unitario]]</f>
        <v>6134672</v>
      </c>
      <c r="M342" s="1">
        <f>Tabla1[[#This Row],[venta_total]]-Tabla1[[#This Row],[costo_total]]</f>
        <v>1533669</v>
      </c>
      <c r="N342" s="3">
        <f>Tabla1[[#This Row],[margen]]/Tabla1[[#This Row],[venta_total]]</f>
        <v>0.20000010432504239</v>
      </c>
    </row>
    <row r="343" spans="1:14" x14ac:dyDescent="0.25">
      <c r="A343" s="2">
        <v>45348</v>
      </c>
      <c r="B343" t="s">
        <v>10</v>
      </c>
      <c r="C343" t="s">
        <v>11</v>
      </c>
      <c r="D343" t="s">
        <v>38</v>
      </c>
      <c r="E343" t="s">
        <v>20</v>
      </c>
      <c r="F343" t="s">
        <v>42</v>
      </c>
      <c r="G343">
        <v>1</v>
      </c>
      <c r="H343" s="1">
        <v>2392734</v>
      </c>
      <c r="I343" s="1">
        <v>1722768</v>
      </c>
      <c r="J343" t="s">
        <v>29</v>
      </c>
      <c r="K343" s="1">
        <f>Tabla1[[#This Row],[cantidad]]*Tabla1[[#This Row],[precio_unitario]]</f>
        <v>2392734</v>
      </c>
      <c r="L343" s="1">
        <f>Tabla1[[#This Row],[cantidad]]*Tabla1[[#This Row],[costo_unitario]]</f>
        <v>1722768</v>
      </c>
      <c r="M343" s="1">
        <f>Tabla1[[#This Row],[venta_total]]-Tabla1[[#This Row],[costo_total]]</f>
        <v>669966</v>
      </c>
      <c r="N343" s="3">
        <f>Tabla1[[#This Row],[margen]]/Tabla1[[#This Row],[venta_total]]</f>
        <v>0.28000020060733871</v>
      </c>
    </row>
    <row r="344" spans="1:14" x14ac:dyDescent="0.25">
      <c r="A344" s="2">
        <v>45388</v>
      </c>
      <c r="B344" t="s">
        <v>18</v>
      </c>
      <c r="C344" t="s">
        <v>11</v>
      </c>
      <c r="D344" t="s">
        <v>19</v>
      </c>
      <c r="E344" t="s">
        <v>20</v>
      </c>
      <c r="F344" t="s">
        <v>21</v>
      </c>
      <c r="G344">
        <v>2</v>
      </c>
      <c r="H344" s="1">
        <v>160894</v>
      </c>
      <c r="I344" s="1">
        <v>96536</v>
      </c>
      <c r="J344" t="s">
        <v>29</v>
      </c>
      <c r="K344" s="1">
        <f>Tabla1[[#This Row],[cantidad]]*Tabla1[[#This Row],[precio_unitario]]</f>
        <v>321788</v>
      </c>
      <c r="L344" s="1">
        <f>Tabla1[[#This Row],[cantidad]]*Tabla1[[#This Row],[costo_unitario]]</f>
        <v>193072</v>
      </c>
      <c r="M344" s="1">
        <f>Tabla1[[#This Row],[venta_total]]-Tabla1[[#This Row],[costo_total]]</f>
        <v>128716</v>
      </c>
      <c r="N344" s="3">
        <f>Tabla1[[#This Row],[margen]]/Tabla1[[#This Row],[venta_total]]</f>
        <v>0.40000248610886668</v>
      </c>
    </row>
    <row r="345" spans="1:14" x14ac:dyDescent="0.25">
      <c r="A345" s="2">
        <v>45342</v>
      </c>
      <c r="B345" t="s">
        <v>10</v>
      </c>
      <c r="C345" t="s">
        <v>11</v>
      </c>
      <c r="D345" t="s">
        <v>38</v>
      </c>
      <c r="E345" t="s">
        <v>13</v>
      </c>
      <c r="F345" t="s">
        <v>41</v>
      </c>
      <c r="G345">
        <v>1</v>
      </c>
      <c r="H345" s="1">
        <v>6311853</v>
      </c>
      <c r="I345" s="1">
        <v>5049482</v>
      </c>
      <c r="J345" t="s">
        <v>31</v>
      </c>
      <c r="K345" s="1">
        <f>Tabla1[[#This Row],[cantidad]]*Tabla1[[#This Row],[precio_unitario]]</f>
        <v>6311853</v>
      </c>
      <c r="L345" s="1">
        <f>Tabla1[[#This Row],[cantidad]]*Tabla1[[#This Row],[costo_unitario]]</f>
        <v>5049482</v>
      </c>
      <c r="M345" s="1">
        <f>Tabla1[[#This Row],[venta_total]]-Tabla1[[#This Row],[costo_total]]</f>
        <v>1262371</v>
      </c>
      <c r="N345" s="3">
        <f>Tabla1[[#This Row],[margen]]/Tabla1[[#This Row],[venta_total]]</f>
        <v>0.20000006337283205</v>
      </c>
    </row>
    <row r="346" spans="1:14" x14ac:dyDescent="0.25">
      <c r="A346" s="2">
        <v>45469</v>
      </c>
      <c r="B346" t="s">
        <v>34</v>
      </c>
      <c r="C346" t="s">
        <v>11</v>
      </c>
      <c r="D346" t="s">
        <v>23</v>
      </c>
      <c r="E346" t="s">
        <v>20</v>
      </c>
      <c r="F346" t="s">
        <v>30</v>
      </c>
      <c r="G346">
        <v>1</v>
      </c>
      <c r="H346" s="1">
        <v>1217387</v>
      </c>
      <c r="I346" s="1">
        <v>852170</v>
      </c>
      <c r="J346" t="s">
        <v>29</v>
      </c>
      <c r="K346" s="1">
        <f>Tabla1[[#This Row],[cantidad]]*Tabla1[[#This Row],[precio_unitario]]</f>
        <v>1217387</v>
      </c>
      <c r="L346" s="1">
        <f>Tabla1[[#This Row],[cantidad]]*Tabla1[[#This Row],[costo_unitario]]</f>
        <v>852170</v>
      </c>
      <c r="M346" s="1">
        <f>Tabla1[[#This Row],[venta_total]]-Tabla1[[#This Row],[costo_total]]</f>
        <v>365217</v>
      </c>
      <c r="N346" s="3">
        <f>Tabla1[[#This Row],[margen]]/Tabla1[[#This Row],[venta_total]]</f>
        <v>0.30000073928832821</v>
      </c>
    </row>
    <row r="347" spans="1:14" x14ac:dyDescent="0.25">
      <c r="A347" s="2">
        <v>45374</v>
      </c>
      <c r="B347" t="s">
        <v>18</v>
      </c>
      <c r="C347" t="s">
        <v>11</v>
      </c>
      <c r="D347" t="s">
        <v>38</v>
      </c>
      <c r="E347" t="s">
        <v>20</v>
      </c>
      <c r="F347" t="s">
        <v>42</v>
      </c>
      <c r="G347">
        <v>1</v>
      </c>
      <c r="H347" s="1">
        <v>3452861</v>
      </c>
      <c r="I347" s="1">
        <v>2486059</v>
      </c>
      <c r="J347" t="s">
        <v>29</v>
      </c>
      <c r="K347" s="1">
        <f>Tabla1[[#This Row],[cantidad]]*Tabla1[[#This Row],[precio_unitario]]</f>
        <v>3452861</v>
      </c>
      <c r="L347" s="1">
        <f>Tabla1[[#This Row],[cantidad]]*Tabla1[[#This Row],[costo_unitario]]</f>
        <v>2486059</v>
      </c>
      <c r="M347" s="1">
        <f>Tabla1[[#This Row],[venta_total]]-Tabla1[[#This Row],[costo_total]]</f>
        <v>966802</v>
      </c>
      <c r="N347" s="3">
        <f>Tabla1[[#This Row],[margen]]/Tabla1[[#This Row],[venta_total]]</f>
        <v>0.2800002664457098</v>
      </c>
    </row>
    <row r="348" spans="1:14" x14ac:dyDescent="0.25">
      <c r="A348" s="2">
        <v>45403</v>
      </c>
      <c r="B348" t="s">
        <v>10</v>
      </c>
      <c r="C348" t="s">
        <v>11</v>
      </c>
      <c r="D348" t="s">
        <v>12</v>
      </c>
      <c r="E348" t="s">
        <v>20</v>
      </c>
      <c r="F348" t="s">
        <v>37</v>
      </c>
      <c r="G348">
        <v>1</v>
      </c>
      <c r="H348" s="1">
        <v>2390663</v>
      </c>
      <c r="I348" s="1">
        <v>1792997</v>
      </c>
      <c r="J348" t="s">
        <v>25</v>
      </c>
      <c r="K348" s="1">
        <f>Tabla1[[#This Row],[cantidad]]*Tabla1[[#This Row],[precio_unitario]]</f>
        <v>2390663</v>
      </c>
      <c r="L348" s="1">
        <f>Tabla1[[#This Row],[cantidad]]*Tabla1[[#This Row],[costo_unitario]]</f>
        <v>1792997</v>
      </c>
      <c r="M348" s="1">
        <f>Tabla1[[#This Row],[venta_total]]-Tabla1[[#This Row],[costo_total]]</f>
        <v>597666</v>
      </c>
      <c r="N348" s="3">
        <f>Tabla1[[#This Row],[margen]]/Tabla1[[#This Row],[venta_total]]</f>
        <v>0.25000010457350114</v>
      </c>
    </row>
    <row r="349" spans="1:14" x14ac:dyDescent="0.25">
      <c r="A349" s="2">
        <v>45391</v>
      </c>
      <c r="B349" t="s">
        <v>34</v>
      </c>
      <c r="C349" t="s">
        <v>11</v>
      </c>
      <c r="D349" t="s">
        <v>19</v>
      </c>
      <c r="E349" t="s">
        <v>16</v>
      </c>
      <c r="F349" t="s">
        <v>35</v>
      </c>
      <c r="G349">
        <v>2</v>
      </c>
      <c r="H349" s="1">
        <v>998898</v>
      </c>
      <c r="I349" s="1">
        <v>649283</v>
      </c>
      <c r="J349" t="s">
        <v>25</v>
      </c>
      <c r="K349" s="1">
        <f>Tabla1[[#This Row],[cantidad]]*Tabla1[[#This Row],[precio_unitario]]</f>
        <v>1997796</v>
      </c>
      <c r="L349" s="1">
        <f>Tabla1[[#This Row],[cantidad]]*Tabla1[[#This Row],[costo_unitario]]</f>
        <v>1298566</v>
      </c>
      <c r="M349" s="1">
        <f>Tabla1[[#This Row],[venta_total]]-Tabla1[[#This Row],[costo_total]]</f>
        <v>699230</v>
      </c>
      <c r="N349" s="3">
        <f>Tabla1[[#This Row],[margen]]/Tabla1[[#This Row],[venta_total]]</f>
        <v>0.35000070077225104</v>
      </c>
    </row>
    <row r="350" spans="1:14" x14ac:dyDescent="0.25">
      <c r="A350" s="2">
        <v>45457</v>
      </c>
      <c r="B350" t="s">
        <v>18</v>
      </c>
      <c r="C350" t="s">
        <v>11</v>
      </c>
      <c r="D350" t="s">
        <v>19</v>
      </c>
      <c r="E350" t="s">
        <v>20</v>
      </c>
      <c r="F350" t="s">
        <v>21</v>
      </c>
      <c r="G350">
        <v>1</v>
      </c>
      <c r="H350" s="1">
        <v>237926</v>
      </c>
      <c r="I350" s="1">
        <v>142755</v>
      </c>
      <c r="J350" t="s">
        <v>29</v>
      </c>
      <c r="K350" s="1">
        <f>Tabla1[[#This Row],[cantidad]]*Tabla1[[#This Row],[precio_unitario]]</f>
        <v>237926</v>
      </c>
      <c r="L350" s="1">
        <f>Tabla1[[#This Row],[cantidad]]*Tabla1[[#This Row],[costo_unitario]]</f>
        <v>142755</v>
      </c>
      <c r="M350" s="1">
        <f>Tabla1[[#This Row],[venta_total]]-Tabla1[[#This Row],[costo_total]]</f>
        <v>95171</v>
      </c>
      <c r="N350" s="3">
        <f>Tabla1[[#This Row],[margen]]/Tabla1[[#This Row],[venta_total]]</f>
        <v>0.40000252179249013</v>
      </c>
    </row>
    <row r="351" spans="1:14" x14ac:dyDescent="0.25">
      <c r="A351" s="2">
        <v>45371</v>
      </c>
      <c r="B351" t="s">
        <v>18</v>
      </c>
      <c r="C351" t="s">
        <v>11</v>
      </c>
      <c r="D351" t="s">
        <v>38</v>
      </c>
      <c r="E351" t="s">
        <v>13</v>
      </c>
      <c r="F351" t="s">
        <v>41</v>
      </c>
      <c r="G351">
        <v>1</v>
      </c>
      <c r="H351" s="1">
        <v>7617475</v>
      </c>
      <c r="I351" s="1">
        <v>6093980</v>
      </c>
      <c r="J351" t="s">
        <v>22</v>
      </c>
      <c r="K351" s="1">
        <f>Tabla1[[#This Row],[cantidad]]*Tabla1[[#This Row],[precio_unitario]]</f>
        <v>7617475</v>
      </c>
      <c r="L351" s="1">
        <f>Tabla1[[#This Row],[cantidad]]*Tabla1[[#This Row],[costo_unitario]]</f>
        <v>6093980</v>
      </c>
      <c r="M351" s="1">
        <f>Tabla1[[#This Row],[venta_total]]-Tabla1[[#This Row],[costo_total]]</f>
        <v>1523495</v>
      </c>
      <c r="N351" s="3">
        <f>Tabla1[[#This Row],[margen]]/Tabla1[[#This Row],[venta_total]]</f>
        <v>0.2</v>
      </c>
    </row>
    <row r="352" spans="1:14" x14ac:dyDescent="0.25">
      <c r="A352" s="2">
        <v>45316</v>
      </c>
      <c r="B352" t="s">
        <v>32</v>
      </c>
      <c r="C352" t="s">
        <v>11</v>
      </c>
      <c r="D352" t="s">
        <v>23</v>
      </c>
      <c r="E352" t="s">
        <v>16</v>
      </c>
      <c r="F352" t="s">
        <v>24</v>
      </c>
      <c r="G352">
        <v>1</v>
      </c>
      <c r="H352" s="1">
        <v>1952795</v>
      </c>
      <c r="I352" s="1">
        <v>1464596</v>
      </c>
      <c r="J352" t="s">
        <v>31</v>
      </c>
      <c r="K352" s="1">
        <f>Tabla1[[#This Row],[cantidad]]*Tabla1[[#This Row],[precio_unitario]]</f>
        <v>1952795</v>
      </c>
      <c r="L352" s="1">
        <f>Tabla1[[#This Row],[cantidad]]*Tabla1[[#This Row],[costo_unitario]]</f>
        <v>1464596</v>
      </c>
      <c r="M352" s="1">
        <f>Tabla1[[#This Row],[venta_total]]-Tabla1[[#This Row],[costo_total]]</f>
        <v>488199</v>
      </c>
      <c r="N352" s="3">
        <f>Tabla1[[#This Row],[margen]]/Tabla1[[#This Row],[venta_total]]</f>
        <v>0.25000012802163052</v>
      </c>
    </row>
    <row r="353" spans="1:14" x14ac:dyDescent="0.25">
      <c r="A353" s="2">
        <v>45348</v>
      </c>
      <c r="B353" t="s">
        <v>32</v>
      </c>
      <c r="C353" t="s">
        <v>11</v>
      </c>
      <c r="D353" t="s">
        <v>26</v>
      </c>
      <c r="E353" t="s">
        <v>20</v>
      </c>
      <c r="F353" t="s">
        <v>36</v>
      </c>
      <c r="G353">
        <v>1</v>
      </c>
      <c r="H353" s="1">
        <v>2542183</v>
      </c>
      <c r="I353" s="1">
        <v>1906637</v>
      </c>
      <c r="J353" t="s">
        <v>31</v>
      </c>
      <c r="K353" s="1">
        <f>Tabla1[[#This Row],[cantidad]]*Tabla1[[#This Row],[precio_unitario]]</f>
        <v>2542183</v>
      </c>
      <c r="L353" s="1">
        <f>Tabla1[[#This Row],[cantidad]]*Tabla1[[#This Row],[costo_unitario]]</f>
        <v>1906637</v>
      </c>
      <c r="M353" s="1">
        <f>Tabla1[[#This Row],[venta_total]]-Tabla1[[#This Row],[costo_total]]</f>
        <v>635546</v>
      </c>
      <c r="N353" s="3">
        <f>Tabla1[[#This Row],[margen]]/Tabla1[[#This Row],[venta_total]]</f>
        <v>0.25000009834067805</v>
      </c>
    </row>
    <row r="354" spans="1:14" x14ac:dyDescent="0.25">
      <c r="A354" s="2">
        <v>45353</v>
      </c>
      <c r="B354" t="s">
        <v>32</v>
      </c>
      <c r="C354" t="s">
        <v>11</v>
      </c>
      <c r="D354" t="s">
        <v>12</v>
      </c>
      <c r="E354" t="s">
        <v>20</v>
      </c>
      <c r="F354" t="s">
        <v>37</v>
      </c>
      <c r="G354">
        <v>1</v>
      </c>
      <c r="H354" s="1">
        <v>2249880</v>
      </c>
      <c r="I354" s="1">
        <v>1687410</v>
      </c>
      <c r="J354" t="s">
        <v>31</v>
      </c>
      <c r="K354" s="1">
        <f>Tabla1[[#This Row],[cantidad]]*Tabla1[[#This Row],[precio_unitario]]</f>
        <v>2249880</v>
      </c>
      <c r="L354" s="1">
        <f>Tabla1[[#This Row],[cantidad]]*Tabla1[[#This Row],[costo_unitario]]</f>
        <v>1687410</v>
      </c>
      <c r="M354" s="1">
        <f>Tabla1[[#This Row],[venta_total]]-Tabla1[[#This Row],[costo_total]]</f>
        <v>562470</v>
      </c>
      <c r="N354" s="3">
        <f>Tabla1[[#This Row],[margen]]/Tabla1[[#This Row],[venta_total]]</f>
        <v>0.25</v>
      </c>
    </row>
    <row r="355" spans="1:14" x14ac:dyDescent="0.25">
      <c r="A355" s="2">
        <v>45369</v>
      </c>
      <c r="B355" t="s">
        <v>10</v>
      </c>
      <c r="C355" t="s">
        <v>11</v>
      </c>
      <c r="D355" t="s">
        <v>26</v>
      </c>
      <c r="E355" t="s">
        <v>13</v>
      </c>
      <c r="F355" t="s">
        <v>27</v>
      </c>
      <c r="G355">
        <v>1</v>
      </c>
      <c r="H355" s="1">
        <v>7124902</v>
      </c>
      <c r="I355" s="1">
        <v>5699921</v>
      </c>
      <c r="J355" t="s">
        <v>31</v>
      </c>
      <c r="K355" s="1">
        <f>Tabla1[[#This Row],[cantidad]]*Tabla1[[#This Row],[precio_unitario]]</f>
        <v>7124902</v>
      </c>
      <c r="L355" s="1">
        <f>Tabla1[[#This Row],[cantidad]]*Tabla1[[#This Row],[costo_unitario]]</f>
        <v>5699921</v>
      </c>
      <c r="M355" s="1">
        <f>Tabla1[[#This Row],[venta_total]]-Tabla1[[#This Row],[costo_total]]</f>
        <v>1424981</v>
      </c>
      <c r="N355" s="3">
        <f>Tabla1[[#This Row],[margen]]/Tabla1[[#This Row],[venta_total]]</f>
        <v>0.20000008421168461</v>
      </c>
    </row>
    <row r="356" spans="1:14" x14ac:dyDescent="0.25">
      <c r="A356" s="2">
        <v>45321</v>
      </c>
      <c r="B356" t="s">
        <v>10</v>
      </c>
      <c r="C356" t="s">
        <v>11</v>
      </c>
      <c r="D356" t="s">
        <v>12</v>
      </c>
      <c r="E356" t="s">
        <v>13</v>
      </c>
      <c r="F356" t="s">
        <v>14</v>
      </c>
      <c r="G356">
        <v>1</v>
      </c>
      <c r="H356" s="1">
        <v>4504904</v>
      </c>
      <c r="I356" s="1">
        <v>3603923</v>
      </c>
      <c r="J356" t="s">
        <v>22</v>
      </c>
      <c r="K356" s="1">
        <f>Tabla1[[#This Row],[cantidad]]*Tabla1[[#This Row],[precio_unitario]]</f>
        <v>4504904</v>
      </c>
      <c r="L356" s="1">
        <f>Tabla1[[#This Row],[cantidad]]*Tabla1[[#This Row],[costo_unitario]]</f>
        <v>3603923</v>
      </c>
      <c r="M356" s="1">
        <f>Tabla1[[#This Row],[venta_total]]-Tabla1[[#This Row],[costo_total]]</f>
        <v>900981</v>
      </c>
      <c r="N356" s="3">
        <f>Tabla1[[#This Row],[margen]]/Tabla1[[#This Row],[venta_total]]</f>
        <v>0.20000004439606262</v>
      </c>
    </row>
    <row r="357" spans="1:14" x14ac:dyDescent="0.25">
      <c r="A357" s="2">
        <v>45347</v>
      </c>
      <c r="B357" t="s">
        <v>34</v>
      </c>
      <c r="C357" t="s">
        <v>11</v>
      </c>
      <c r="D357" t="s">
        <v>26</v>
      </c>
      <c r="E357" t="s">
        <v>16</v>
      </c>
      <c r="F357" t="s">
        <v>40</v>
      </c>
      <c r="G357">
        <v>1</v>
      </c>
      <c r="H357" s="1">
        <v>4896009</v>
      </c>
      <c r="I357" s="1">
        <v>3818887</v>
      </c>
      <c r="J357" t="s">
        <v>22</v>
      </c>
      <c r="K357" s="1">
        <f>Tabla1[[#This Row],[cantidad]]*Tabla1[[#This Row],[precio_unitario]]</f>
        <v>4896009</v>
      </c>
      <c r="L357" s="1">
        <f>Tabla1[[#This Row],[cantidad]]*Tabla1[[#This Row],[costo_unitario]]</f>
        <v>3818887</v>
      </c>
      <c r="M357" s="1">
        <f>Tabla1[[#This Row],[venta_total]]-Tabla1[[#This Row],[costo_total]]</f>
        <v>1077122</v>
      </c>
      <c r="N357" s="3">
        <f>Tabla1[[#This Row],[margen]]/Tabla1[[#This Row],[venta_total]]</f>
        <v>0.22000000408495982</v>
      </c>
    </row>
    <row r="358" spans="1:14" x14ac:dyDescent="0.25">
      <c r="A358" s="2">
        <v>45427</v>
      </c>
      <c r="B358" t="s">
        <v>32</v>
      </c>
      <c r="C358" t="s">
        <v>11</v>
      </c>
      <c r="D358" t="s">
        <v>38</v>
      </c>
      <c r="E358" t="s">
        <v>16</v>
      </c>
      <c r="F358" t="s">
        <v>39</v>
      </c>
      <c r="G358">
        <v>1</v>
      </c>
      <c r="H358" s="1">
        <v>4913423</v>
      </c>
      <c r="I358" s="1">
        <v>3685067</v>
      </c>
      <c r="J358" t="s">
        <v>31</v>
      </c>
      <c r="K358" s="1">
        <f>Tabla1[[#This Row],[cantidad]]*Tabla1[[#This Row],[precio_unitario]]</f>
        <v>4913423</v>
      </c>
      <c r="L358" s="1">
        <f>Tabla1[[#This Row],[cantidad]]*Tabla1[[#This Row],[costo_unitario]]</f>
        <v>3685067</v>
      </c>
      <c r="M358" s="1">
        <f>Tabla1[[#This Row],[venta_total]]-Tabla1[[#This Row],[costo_total]]</f>
        <v>1228356</v>
      </c>
      <c r="N358" s="3">
        <f>Tabla1[[#This Row],[margen]]/Tabla1[[#This Row],[venta_total]]</f>
        <v>0.25000005088102528</v>
      </c>
    </row>
    <row r="359" spans="1:14" x14ac:dyDescent="0.25">
      <c r="A359" s="2">
        <v>45465</v>
      </c>
      <c r="B359" t="s">
        <v>18</v>
      </c>
      <c r="C359" t="s">
        <v>11</v>
      </c>
      <c r="D359" t="s">
        <v>38</v>
      </c>
      <c r="E359" t="s">
        <v>16</v>
      </c>
      <c r="F359" t="s">
        <v>39</v>
      </c>
      <c r="G359">
        <v>1</v>
      </c>
      <c r="H359" s="1">
        <v>3757743</v>
      </c>
      <c r="I359" s="1">
        <v>2818307</v>
      </c>
      <c r="J359" t="s">
        <v>25</v>
      </c>
      <c r="K359" s="1">
        <f>Tabla1[[#This Row],[cantidad]]*Tabla1[[#This Row],[precio_unitario]]</f>
        <v>3757743</v>
      </c>
      <c r="L359" s="1">
        <f>Tabla1[[#This Row],[cantidad]]*Tabla1[[#This Row],[costo_unitario]]</f>
        <v>2818307</v>
      </c>
      <c r="M359" s="1">
        <f>Tabla1[[#This Row],[venta_total]]-Tabla1[[#This Row],[costo_total]]</f>
        <v>939436</v>
      </c>
      <c r="N359" s="3">
        <f>Tabla1[[#This Row],[margen]]/Tabla1[[#This Row],[venta_total]]</f>
        <v>0.25000006652929696</v>
      </c>
    </row>
    <row r="360" spans="1:14" x14ac:dyDescent="0.25">
      <c r="A360" s="2">
        <v>45398</v>
      </c>
      <c r="B360" t="s">
        <v>18</v>
      </c>
      <c r="C360" t="s">
        <v>11</v>
      </c>
      <c r="D360" t="s">
        <v>38</v>
      </c>
      <c r="E360" t="s">
        <v>13</v>
      </c>
      <c r="F360" t="s">
        <v>41</v>
      </c>
      <c r="G360">
        <v>1</v>
      </c>
      <c r="H360" s="1">
        <v>6824438</v>
      </c>
      <c r="I360" s="1">
        <v>5459550</v>
      </c>
      <c r="J360" t="s">
        <v>25</v>
      </c>
      <c r="K360" s="1">
        <f>Tabla1[[#This Row],[cantidad]]*Tabla1[[#This Row],[precio_unitario]]</f>
        <v>6824438</v>
      </c>
      <c r="L360" s="1">
        <f>Tabla1[[#This Row],[cantidad]]*Tabla1[[#This Row],[costo_unitario]]</f>
        <v>5459550</v>
      </c>
      <c r="M360" s="1">
        <f>Tabla1[[#This Row],[venta_total]]-Tabla1[[#This Row],[costo_total]]</f>
        <v>1364888</v>
      </c>
      <c r="N360" s="3">
        <f>Tabla1[[#This Row],[margen]]/Tabla1[[#This Row],[venta_total]]</f>
        <v>0.20000005861288506</v>
      </c>
    </row>
    <row r="361" spans="1:14" x14ac:dyDescent="0.25">
      <c r="A361" s="2">
        <v>45418</v>
      </c>
      <c r="B361" t="s">
        <v>10</v>
      </c>
      <c r="C361" t="s">
        <v>11</v>
      </c>
      <c r="D361" t="s">
        <v>38</v>
      </c>
      <c r="E361" t="s">
        <v>20</v>
      </c>
      <c r="F361" t="s">
        <v>42</v>
      </c>
      <c r="G361">
        <v>1</v>
      </c>
      <c r="H361" s="1">
        <v>2107026</v>
      </c>
      <c r="I361" s="1">
        <v>1517058</v>
      </c>
      <c r="J361" t="s">
        <v>29</v>
      </c>
      <c r="K361" s="1">
        <f>Tabla1[[#This Row],[cantidad]]*Tabla1[[#This Row],[precio_unitario]]</f>
        <v>2107026</v>
      </c>
      <c r="L361" s="1">
        <f>Tabla1[[#This Row],[cantidad]]*Tabla1[[#This Row],[costo_unitario]]</f>
        <v>1517058</v>
      </c>
      <c r="M361" s="1">
        <f>Tabla1[[#This Row],[venta_total]]-Tabla1[[#This Row],[costo_total]]</f>
        <v>589968</v>
      </c>
      <c r="N361" s="3">
        <f>Tabla1[[#This Row],[margen]]/Tabla1[[#This Row],[venta_total]]</f>
        <v>0.2800003417138659</v>
      </c>
    </row>
    <row r="362" spans="1:14" x14ac:dyDescent="0.25">
      <c r="A362" s="2">
        <v>45296</v>
      </c>
      <c r="B362" t="s">
        <v>32</v>
      </c>
      <c r="C362" t="s">
        <v>11</v>
      </c>
      <c r="D362" t="s">
        <v>38</v>
      </c>
      <c r="E362" t="s">
        <v>16</v>
      </c>
      <c r="F362" t="s">
        <v>39</v>
      </c>
      <c r="G362">
        <v>1</v>
      </c>
      <c r="H362" s="1">
        <v>5303219</v>
      </c>
      <c r="I362" s="1">
        <v>3977414</v>
      </c>
      <c r="J362" t="s">
        <v>31</v>
      </c>
      <c r="K362" s="1">
        <f>Tabla1[[#This Row],[cantidad]]*Tabla1[[#This Row],[precio_unitario]]</f>
        <v>5303219</v>
      </c>
      <c r="L362" s="1">
        <f>Tabla1[[#This Row],[cantidad]]*Tabla1[[#This Row],[costo_unitario]]</f>
        <v>3977414</v>
      </c>
      <c r="M362" s="1">
        <f>Tabla1[[#This Row],[venta_total]]-Tabla1[[#This Row],[costo_total]]</f>
        <v>1325805</v>
      </c>
      <c r="N362" s="3">
        <f>Tabla1[[#This Row],[margen]]/Tabla1[[#This Row],[venta_total]]</f>
        <v>0.25000004714117974</v>
      </c>
    </row>
    <row r="363" spans="1:14" x14ac:dyDescent="0.25">
      <c r="A363" s="2">
        <v>45375</v>
      </c>
      <c r="B363" t="s">
        <v>34</v>
      </c>
      <c r="C363" t="s">
        <v>11</v>
      </c>
      <c r="D363" t="s">
        <v>19</v>
      </c>
      <c r="E363" t="s">
        <v>20</v>
      </c>
      <c r="F363" t="s">
        <v>21</v>
      </c>
      <c r="G363">
        <v>1</v>
      </c>
      <c r="H363" s="1">
        <v>386490</v>
      </c>
      <c r="I363" s="1">
        <v>231894</v>
      </c>
      <c r="J363" t="s">
        <v>31</v>
      </c>
      <c r="K363" s="1">
        <f>Tabla1[[#This Row],[cantidad]]*Tabla1[[#This Row],[precio_unitario]]</f>
        <v>386490</v>
      </c>
      <c r="L363" s="1">
        <f>Tabla1[[#This Row],[cantidad]]*Tabla1[[#This Row],[costo_unitario]]</f>
        <v>231894</v>
      </c>
      <c r="M363" s="1">
        <f>Tabla1[[#This Row],[venta_total]]-Tabla1[[#This Row],[costo_total]]</f>
        <v>154596</v>
      </c>
      <c r="N363" s="3">
        <f>Tabla1[[#This Row],[margen]]/Tabla1[[#This Row],[venta_total]]</f>
        <v>0.4</v>
      </c>
    </row>
    <row r="364" spans="1:14" x14ac:dyDescent="0.25">
      <c r="A364" s="2">
        <v>45295</v>
      </c>
      <c r="B364" t="s">
        <v>34</v>
      </c>
      <c r="C364" t="s">
        <v>11</v>
      </c>
      <c r="D364" t="s">
        <v>19</v>
      </c>
      <c r="E364" t="s">
        <v>13</v>
      </c>
      <c r="F364" t="s">
        <v>33</v>
      </c>
      <c r="G364">
        <v>2</v>
      </c>
      <c r="H364" s="1">
        <v>1945923</v>
      </c>
      <c r="I364" s="1">
        <v>1362146</v>
      </c>
      <c r="J364" t="s">
        <v>29</v>
      </c>
      <c r="K364" s="1">
        <f>Tabla1[[#This Row],[cantidad]]*Tabla1[[#This Row],[precio_unitario]]</f>
        <v>3891846</v>
      </c>
      <c r="L364" s="1">
        <f>Tabla1[[#This Row],[cantidad]]*Tabla1[[#This Row],[costo_unitario]]</f>
        <v>2724292</v>
      </c>
      <c r="M364" s="1">
        <f>Tabla1[[#This Row],[venta_total]]-Tabla1[[#This Row],[costo_total]]</f>
        <v>1167554</v>
      </c>
      <c r="N364" s="3">
        <f>Tabla1[[#This Row],[margen]]/Tabla1[[#This Row],[venta_total]]</f>
        <v>0.30000005138949487</v>
      </c>
    </row>
    <row r="365" spans="1:14" x14ac:dyDescent="0.25">
      <c r="A365" s="2">
        <v>45316</v>
      </c>
      <c r="B365" t="s">
        <v>34</v>
      </c>
      <c r="C365" t="s">
        <v>11</v>
      </c>
      <c r="D365" t="s">
        <v>26</v>
      </c>
      <c r="E365" t="s">
        <v>20</v>
      </c>
      <c r="F365" t="s">
        <v>36</v>
      </c>
      <c r="G365">
        <v>1</v>
      </c>
      <c r="H365" s="1">
        <v>2291546</v>
      </c>
      <c r="I365" s="1">
        <v>1718659</v>
      </c>
      <c r="J365" t="s">
        <v>15</v>
      </c>
      <c r="K365" s="1">
        <f>Tabla1[[#This Row],[cantidad]]*Tabla1[[#This Row],[precio_unitario]]</f>
        <v>2291546</v>
      </c>
      <c r="L365" s="1">
        <f>Tabla1[[#This Row],[cantidad]]*Tabla1[[#This Row],[costo_unitario]]</f>
        <v>1718659</v>
      </c>
      <c r="M365" s="1">
        <f>Tabla1[[#This Row],[venta_total]]-Tabla1[[#This Row],[costo_total]]</f>
        <v>572887</v>
      </c>
      <c r="N365" s="3">
        <f>Tabla1[[#This Row],[margen]]/Tabla1[[#This Row],[venta_total]]</f>
        <v>0.25000021819330703</v>
      </c>
    </row>
    <row r="366" spans="1:14" x14ac:dyDescent="0.25">
      <c r="A366" s="2">
        <v>45432</v>
      </c>
      <c r="B366" t="s">
        <v>32</v>
      </c>
      <c r="C366" t="s">
        <v>11</v>
      </c>
      <c r="D366" t="s">
        <v>38</v>
      </c>
      <c r="E366" t="s">
        <v>20</v>
      </c>
      <c r="F366" t="s">
        <v>42</v>
      </c>
      <c r="G366">
        <v>1</v>
      </c>
      <c r="H366" s="1">
        <v>3152901</v>
      </c>
      <c r="I366" s="1">
        <v>2270088</v>
      </c>
      <c r="J366" t="s">
        <v>31</v>
      </c>
      <c r="K366" s="1">
        <f>Tabla1[[#This Row],[cantidad]]*Tabla1[[#This Row],[precio_unitario]]</f>
        <v>3152901</v>
      </c>
      <c r="L366" s="1">
        <f>Tabla1[[#This Row],[cantidad]]*Tabla1[[#This Row],[costo_unitario]]</f>
        <v>2270088</v>
      </c>
      <c r="M366" s="1">
        <f>Tabla1[[#This Row],[venta_total]]-Tabla1[[#This Row],[costo_total]]</f>
        <v>882813</v>
      </c>
      <c r="N366" s="3">
        <f>Tabla1[[#This Row],[margen]]/Tabla1[[#This Row],[venta_total]]</f>
        <v>0.28000022836111887</v>
      </c>
    </row>
    <row r="367" spans="1:14" x14ac:dyDescent="0.25">
      <c r="A367" s="2">
        <v>45397</v>
      </c>
      <c r="B367" t="s">
        <v>32</v>
      </c>
      <c r="C367" t="s">
        <v>11</v>
      </c>
      <c r="D367" t="s">
        <v>12</v>
      </c>
      <c r="E367" t="s">
        <v>13</v>
      </c>
      <c r="F367" t="s">
        <v>14</v>
      </c>
      <c r="G367">
        <v>1</v>
      </c>
      <c r="H367" s="1">
        <v>4702491</v>
      </c>
      <c r="I367" s="1">
        <v>3761992</v>
      </c>
      <c r="J367" t="s">
        <v>25</v>
      </c>
      <c r="K367" s="1">
        <f>Tabla1[[#This Row],[cantidad]]*Tabla1[[#This Row],[precio_unitario]]</f>
        <v>4702491</v>
      </c>
      <c r="L367" s="1">
        <f>Tabla1[[#This Row],[cantidad]]*Tabla1[[#This Row],[costo_unitario]]</f>
        <v>3761992</v>
      </c>
      <c r="M367" s="1">
        <f>Tabla1[[#This Row],[venta_total]]-Tabla1[[#This Row],[costo_total]]</f>
        <v>940499</v>
      </c>
      <c r="N367" s="3">
        <f>Tabla1[[#This Row],[margen]]/Tabla1[[#This Row],[venta_total]]</f>
        <v>0.20000017012260099</v>
      </c>
    </row>
    <row r="368" spans="1:14" x14ac:dyDescent="0.25">
      <c r="A368" s="2">
        <v>45466</v>
      </c>
      <c r="B368" t="s">
        <v>32</v>
      </c>
      <c r="C368" t="s">
        <v>11</v>
      </c>
      <c r="D368" t="s">
        <v>12</v>
      </c>
      <c r="E368" t="s">
        <v>20</v>
      </c>
      <c r="F368" t="s">
        <v>37</v>
      </c>
      <c r="G368">
        <v>1</v>
      </c>
      <c r="H368" s="1">
        <v>2156384</v>
      </c>
      <c r="I368" s="1">
        <v>1617288</v>
      </c>
      <c r="J368" t="s">
        <v>29</v>
      </c>
      <c r="K368" s="1">
        <f>Tabla1[[#This Row],[cantidad]]*Tabla1[[#This Row],[precio_unitario]]</f>
        <v>2156384</v>
      </c>
      <c r="L368" s="1">
        <f>Tabla1[[#This Row],[cantidad]]*Tabla1[[#This Row],[costo_unitario]]</f>
        <v>1617288</v>
      </c>
      <c r="M368" s="1">
        <f>Tabla1[[#This Row],[venta_total]]-Tabla1[[#This Row],[costo_total]]</f>
        <v>539096</v>
      </c>
      <c r="N368" s="3">
        <f>Tabla1[[#This Row],[margen]]/Tabla1[[#This Row],[venta_total]]</f>
        <v>0.25</v>
      </c>
    </row>
    <row r="369" spans="1:14" x14ac:dyDescent="0.25">
      <c r="A369" s="2">
        <v>45372</v>
      </c>
      <c r="B369" t="s">
        <v>34</v>
      </c>
      <c r="C369" t="s">
        <v>11</v>
      </c>
      <c r="D369" t="s">
        <v>23</v>
      </c>
      <c r="E369" t="s">
        <v>13</v>
      </c>
      <c r="F369" t="s">
        <v>28</v>
      </c>
      <c r="G369">
        <v>1</v>
      </c>
      <c r="H369" s="1">
        <v>3200308</v>
      </c>
      <c r="I369" s="1">
        <v>2560246</v>
      </c>
      <c r="J369" t="s">
        <v>15</v>
      </c>
      <c r="K369" s="1">
        <f>Tabla1[[#This Row],[cantidad]]*Tabla1[[#This Row],[precio_unitario]]</f>
        <v>3200308</v>
      </c>
      <c r="L369" s="1">
        <f>Tabla1[[#This Row],[cantidad]]*Tabla1[[#This Row],[costo_unitario]]</f>
        <v>2560246</v>
      </c>
      <c r="M369" s="1">
        <f>Tabla1[[#This Row],[venta_total]]-Tabla1[[#This Row],[costo_total]]</f>
        <v>640062</v>
      </c>
      <c r="N369" s="3">
        <f>Tabla1[[#This Row],[margen]]/Tabla1[[#This Row],[venta_total]]</f>
        <v>0.2000001249879699</v>
      </c>
    </row>
    <row r="370" spans="1:14" x14ac:dyDescent="0.25">
      <c r="A370" s="2">
        <v>45431</v>
      </c>
      <c r="B370" t="s">
        <v>18</v>
      </c>
      <c r="C370" t="s">
        <v>11</v>
      </c>
      <c r="D370" t="s">
        <v>26</v>
      </c>
      <c r="E370" t="s">
        <v>13</v>
      </c>
      <c r="F370" t="s">
        <v>27</v>
      </c>
      <c r="G370">
        <v>1</v>
      </c>
      <c r="H370" s="1">
        <v>5740069</v>
      </c>
      <c r="I370" s="1">
        <v>4592055</v>
      </c>
      <c r="J370" t="s">
        <v>22</v>
      </c>
      <c r="K370" s="1">
        <f>Tabla1[[#This Row],[cantidad]]*Tabla1[[#This Row],[precio_unitario]]</f>
        <v>5740069</v>
      </c>
      <c r="L370" s="1">
        <f>Tabla1[[#This Row],[cantidad]]*Tabla1[[#This Row],[costo_unitario]]</f>
        <v>4592055</v>
      </c>
      <c r="M370" s="1">
        <f>Tabla1[[#This Row],[venta_total]]-Tabla1[[#This Row],[costo_total]]</f>
        <v>1148014</v>
      </c>
      <c r="N370" s="3">
        <f>Tabla1[[#This Row],[margen]]/Tabla1[[#This Row],[venta_total]]</f>
        <v>0.20000003484278672</v>
      </c>
    </row>
    <row r="371" spans="1:14" x14ac:dyDescent="0.25">
      <c r="A371" s="2">
        <v>45307</v>
      </c>
      <c r="B371" t="s">
        <v>18</v>
      </c>
      <c r="C371" t="s">
        <v>11</v>
      </c>
      <c r="D371" t="s">
        <v>26</v>
      </c>
      <c r="E371" t="s">
        <v>20</v>
      </c>
      <c r="F371" t="s">
        <v>36</v>
      </c>
      <c r="G371">
        <v>1</v>
      </c>
      <c r="H371" s="1">
        <v>2337124</v>
      </c>
      <c r="I371" s="1">
        <v>1752843</v>
      </c>
      <c r="J371" t="s">
        <v>29</v>
      </c>
      <c r="K371" s="1">
        <f>Tabla1[[#This Row],[cantidad]]*Tabla1[[#This Row],[precio_unitario]]</f>
        <v>2337124</v>
      </c>
      <c r="L371" s="1">
        <f>Tabla1[[#This Row],[cantidad]]*Tabla1[[#This Row],[costo_unitario]]</f>
        <v>1752843</v>
      </c>
      <c r="M371" s="1">
        <f>Tabla1[[#This Row],[venta_total]]-Tabla1[[#This Row],[costo_total]]</f>
        <v>584281</v>
      </c>
      <c r="N371" s="3">
        <f>Tabla1[[#This Row],[margen]]/Tabla1[[#This Row],[venta_total]]</f>
        <v>0.25</v>
      </c>
    </row>
    <row r="372" spans="1:14" x14ac:dyDescent="0.25">
      <c r="A372" s="2">
        <v>45298</v>
      </c>
      <c r="B372" t="s">
        <v>32</v>
      </c>
      <c r="C372" t="s">
        <v>11</v>
      </c>
      <c r="D372" t="s">
        <v>38</v>
      </c>
      <c r="E372" t="s">
        <v>16</v>
      </c>
      <c r="F372" t="s">
        <v>39</v>
      </c>
      <c r="G372">
        <v>1</v>
      </c>
      <c r="H372" s="1">
        <v>4344818</v>
      </c>
      <c r="I372" s="1">
        <v>3258613</v>
      </c>
      <c r="J372" t="s">
        <v>29</v>
      </c>
      <c r="K372" s="1">
        <f>Tabla1[[#This Row],[cantidad]]*Tabla1[[#This Row],[precio_unitario]]</f>
        <v>4344818</v>
      </c>
      <c r="L372" s="1">
        <f>Tabla1[[#This Row],[cantidad]]*Tabla1[[#This Row],[costo_unitario]]</f>
        <v>3258613</v>
      </c>
      <c r="M372" s="1">
        <f>Tabla1[[#This Row],[venta_total]]-Tabla1[[#This Row],[costo_total]]</f>
        <v>1086205</v>
      </c>
      <c r="N372" s="3">
        <f>Tabla1[[#This Row],[margen]]/Tabla1[[#This Row],[venta_total]]</f>
        <v>0.250000115079619</v>
      </c>
    </row>
    <row r="373" spans="1:14" x14ac:dyDescent="0.25">
      <c r="A373" s="2">
        <v>45415</v>
      </c>
      <c r="B373" t="s">
        <v>18</v>
      </c>
      <c r="C373" t="s">
        <v>11</v>
      </c>
      <c r="D373" t="s">
        <v>38</v>
      </c>
      <c r="E373" t="s">
        <v>13</v>
      </c>
      <c r="F373" t="s">
        <v>41</v>
      </c>
      <c r="G373">
        <v>1</v>
      </c>
      <c r="H373" s="1">
        <v>6197835</v>
      </c>
      <c r="I373" s="1">
        <v>4958268</v>
      </c>
      <c r="J373" t="s">
        <v>15</v>
      </c>
      <c r="K373" s="1">
        <f>Tabla1[[#This Row],[cantidad]]*Tabla1[[#This Row],[precio_unitario]]</f>
        <v>6197835</v>
      </c>
      <c r="L373" s="1">
        <f>Tabla1[[#This Row],[cantidad]]*Tabla1[[#This Row],[costo_unitario]]</f>
        <v>4958268</v>
      </c>
      <c r="M373" s="1">
        <f>Tabla1[[#This Row],[venta_total]]-Tabla1[[#This Row],[costo_total]]</f>
        <v>1239567</v>
      </c>
      <c r="N373" s="3">
        <f>Tabla1[[#This Row],[margen]]/Tabla1[[#This Row],[venta_total]]</f>
        <v>0.2</v>
      </c>
    </row>
    <row r="374" spans="1:14" x14ac:dyDescent="0.25">
      <c r="A374" s="2">
        <v>45383</v>
      </c>
      <c r="B374" t="s">
        <v>32</v>
      </c>
      <c r="C374" t="s">
        <v>11</v>
      </c>
      <c r="D374" t="s">
        <v>38</v>
      </c>
      <c r="E374" t="s">
        <v>13</v>
      </c>
      <c r="F374" t="s">
        <v>41</v>
      </c>
      <c r="G374">
        <v>1</v>
      </c>
      <c r="H374" s="1">
        <v>7710016</v>
      </c>
      <c r="I374" s="1">
        <v>6168012</v>
      </c>
      <c r="J374" t="s">
        <v>15</v>
      </c>
      <c r="K374" s="1">
        <f>Tabla1[[#This Row],[cantidad]]*Tabla1[[#This Row],[precio_unitario]]</f>
        <v>7710016</v>
      </c>
      <c r="L374" s="1">
        <f>Tabla1[[#This Row],[cantidad]]*Tabla1[[#This Row],[costo_unitario]]</f>
        <v>6168012</v>
      </c>
      <c r="M374" s="1">
        <f>Tabla1[[#This Row],[venta_total]]-Tabla1[[#This Row],[costo_total]]</f>
        <v>1542004</v>
      </c>
      <c r="N374" s="3">
        <f>Tabla1[[#This Row],[margen]]/Tabla1[[#This Row],[venta_total]]</f>
        <v>0.20000010376113356</v>
      </c>
    </row>
    <row r="375" spans="1:14" x14ac:dyDescent="0.25">
      <c r="A375" s="2">
        <v>45374</v>
      </c>
      <c r="B375" t="s">
        <v>34</v>
      </c>
      <c r="C375" t="s">
        <v>11</v>
      </c>
      <c r="D375" t="s">
        <v>23</v>
      </c>
      <c r="E375" t="s">
        <v>13</v>
      </c>
      <c r="F375" t="s">
        <v>28</v>
      </c>
      <c r="G375">
        <v>1</v>
      </c>
      <c r="H375" s="1">
        <v>2633454</v>
      </c>
      <c r="I375" s="1">
        <v>2106763</v>
      </c>
      <c r="J375" t="s">
        <v>31</v>
      </c>
      <c r="K375" s="1">
        <f>Tabla1[[#This Row],[cantidad]]*Tabla1[[#This Row],[precio_unitario]]</f>
        <v>2633454</v>
      </c>
      <c r="L375" s="1">
        <f>Tabla1[[#This Row],[cantidad]]*Tabla1[[#This Row],[costo_unitario]]</f>
        <v>2106763</v>
      </c>
      <c r="M375" s="1">
        <f>Tabla1[[#This Row],[venta_total]]-Tabla1[[#This Row],[costo_total]]</f>
        <v>526691</v>
      </c>
      <c r="N375" s="3">
        <f>Tabla1[[#This Row],[margen]]/Tabla1[[#This Row],[venta_total]]</f>
        <v>0.20000007594588703</v>
      </c>
    </row>
    <row r="376" spans="1:14" x14ac:dyDescent="0.25">
      <c r="A376" s="2">
        <v>45345</v>
      </c>
      <c r="B376" t="s">
        <v>18</v>
      </c>
      <c r="C376" t="s">
        <v>11</v>
      </c>
      <c r="D376" t="s">
        <v>38</v>
      </c>
      <c r="E376" t="s">
        <v>16</v>
      </c>
      <c r="F376" t="s">
        <v>39</v>
      </c>
      <c r="G376">
        <v>1</v>
      </c>
      <c r="H376" s="1">
        <v>3605140</v>
      </c>
      <c r="I376" s="1">
        <v>2703855</v>
      </c>
      <c r="J376" t="s">
        <v>15</v>
      </c>
      <c r="K376" s="1">
        <f>Tabla1[[#This Row],[cantidad]]*Tabla1[[#This Row],[precio_unitario]]</f>
        <v>3605140</v>
      </c>
      <c r="L376" s="1">
        <f>Tabla1[[#This Row],[cantidad]]*Tabla1[[#This Row],[costo_unitario]]</f>
        <v>2703855</v>
      </c>
      <c r="M376" s="1">
        <f>Tabla1[[#This Row],[venta_total]]-Tabla1[[#This Row],[costo_total]]</f>
        <v>901285</v>
      </c>
      <c r="N376" s="3">
        <f>Tabla1[[#This Row],[margen]]/Tabla1[[#This Row],[venta_total]]</f>
        <v>0.25</v>
      </c>
    </row>
    <row r="377" spans="1:14" x14ac:dyDescent="0.25">
      <c r="A377" s="2">
        <v>45331</v>
      </c>
      <c r="B377" t="s">
        <v>32</v>
      </c>
      <c r="C377" t="s">
        <v>11</v>
      </c>
      <c r="D377" t="s">
        <v>19</v>
      </c>
      <c r="E377" t="s">
        <v>13</v>
      </c>
      <c r="F377" t="s">
        <v>33</v>
      </c>
      <c r="G377">
        <v>1</v>
      </c>
      <c r="H377" s="1">
        <v>1506377</v>
      </c>
      <c r="I377" s="1">
        <v>1054463</v>
      </c>
      <c r="J377" t="s">
        <v>15</v>
      </c>
      <c r="K377" s="1">
        <f>Tabla1[[#This Row],[cantidad]]*Tabla1[[#This Row],[precio_unitario]]</f>
        <v>1506377</v>
      </c>
      <c r="L377" s="1">
        <f>Tabla1[[#This Row],[cantidad]]*Tabla1[[#This Row],[costo_unitario]]</f>
        <v>1054463</v>
      </c>
      <c r="M377" s="1">
        <f>Tabla1[[#This Row],[venta_total]]-Tabla1[[#This Row],[costo_total]]</f>
        <v>451914</v>
      </c>
      <c r="N377" s="3">
        <f>Tabla1[[#This Row],[margen]]/Tabla1[[#This Row],[venta_total]]</f>
        <v>0.30000059745999841</v>
      </c>
    </row>
    <row r="378" spans="1:14" x14ac:dyDescent="0.25">
      <c r="A378" s="2">
        <v>45373</v>
      </c>
      <c r="B378" t="s">
        <v>34</v>
      </c>
      <c r="C378" t="s">
        <v>11</v>
      </c>
      <c r="D378" t="s">
        <v>23</v>
      </c>
      <c r="E378" t="s">
        <v>13</v>
      </c>
      <c r="F378" t="s">
        <v>28</v>
      </c>
      <c r="G378">
        <v>1</v>
      </c>
      <c r="H378" s="1">
        <v>2200318</v>
      </c>
      <c r="I378" s="1">
        <v>1760254</v>
      </c>
      <c r="J378" t="s">
        <v>15</v>
      </c>
      <c r="K378" s="1">
        <f>Tabla1[[#This Row],[cantidad]]*Tabla1[[#This Row],[precio_unitario]]</f>
        <v>2200318</v>
      </c>
      <c r="L378" s="1">
        <f>Tabla1[[#This Row],[cantidad]]*Tabla1[[#This Row],[costo_unitario]]</f>
        <v>1760254</v>
      </c>
      <c r="M378" s="1">
        <f>Tabla1[[#This Row],[venta_total]]-Tabla1[[#This Row],[costo_total]]</f>
        <v>440064</v>
      </c>
      <c r="N378" s="3">
        <f>Tabla1[[#This Row],[margen]]/Tabla1[[#This Row],[venta_total]]</f>
        <v>0.20000018179190462</v>
      </c>
    </row>
    <row r="379" spans="1:14" x14ac:dyDescent="0.25">
      <c r="A379" s="2">
        <v>45461</v>
      </c>
      <c r="B379" t="s">
        <v>34</v>
      </c>
      <c r="C379" t="s">
        <v>11</v>
      </c>
      <c r="D379" t="s">
        <v>23</v>
      </c>
      <c r="E379" t="s">
        <v>13</v>
      </c>
      <c r="F379" t="s">
        <v>28</v>
      </c>
      <c r="G379">
        <v>1</v>
      </c>
      <c r="H379" s="1">
        <v>2218792</v>
      </c>
      <c r="I379" s="1">
        <v>1775033</v>
      </c>
      <c r="J379" t="s">
        <v>22</v>
      </c>
      <c r="K379" s="1">
        <f>Tabla1[[#This Row],[cantidad]]*Tabla1[[#This Row],[precio_unitario]]</f>
        <v>2218792</v>
      </c>
      <c r="L379" s="1">
        <f>Tabla1[[#This Row],[cantidad]]*Tabla1[[#This Row],[costo_unitario]]</f>
        <v>1775033</v>
      </c>
      <c r="M379" s="1">
        <f>Tabla1[[#This Row],[venta_total]]-Tabla1[[#This Row],[costo_total]]</f>
        <v>443759</v>
      </c>
      <c r="N379" s="3">
        <f>Tabla1[[#This Row],[margen]]/Tabla1[[#This Row],[venta_total]]</f>
        <v>0.20000027041741633</v>
      </c>
    </row>
    <row r="380" spans="1:14" x14ac:dyDescent="0.25">
      <c r="A380" s="2">
        <v>45334</v>
      </c>
      <c r="B380" t="s">
        <v>10</v>
      </c>
      <c r="C380" t="s">
        <v>11</v>
      </c>
      <c r="D380" t="s">
        <v>38</v>
      </c>
      <c r="E380" t="s">
        <v>13</v>
      </c>
      <c r="F380" t="s">
        <v>41</v>
      </c>
      <c r="G380">
        <v>1</v>
      </c>
      <c r="H380" s="1">
        <v>7710594</v>
      </c>
      <c r="I380" s="1">
        <v>6168475</v>
      </c>
      <c r="J380" t="s">
        <v>25</v>
      </c>
      <c r="K380" s="1">
        <f>Tabla1[[#This Row],[cantidad]]*Tabla1[[#This Row],[precio_unitario]]</f>
        <v>7710594</v>
      </c>
      <c r="L380" s="1">
        <f>Tabla1[[#This Row],[cantidad]]*Tabla1[[#This Row],[costo_unitario]]</f>
        <v>6168475</v>
      </c>
      <c r="M380" s="1">
        <f>Tabla1[[#This Row],[venta_total]]-Tabla1[[#This Row],[costo_total]]</f>
        <v>1542119</v>
      </c>
      <c r="N380" s="3">
        <f>Tabla1[[#This Row],[margen]]/Tabla1[[#This Row],[venta_total]]</f>
        <v>0.20000002593833885</v>
      </c>
    </row>
    <row r="381" spans="1:14" x14ac:dyDescent="0.25">
      <c r="A381" s="2">
        <v>45449</v>
      </c>
      <c r="B381" t="s">
        <v>32</v>
      </c>
      <c r="C381" t="s">
        <v>11</v>
      </c>
      <c r="D381" t="s">
        <v>12</v>
      </c>
      <c r="E381" t="s">
        <v>16</v>
      </c>
      <c r="F381" t="s">
        <v>17</v>
      </c>
      <c r="G381">
        <v>1</v>
      </c>
      <c r="H381" s="1">
        <v>2974791</v>
      </c>
      <c r="I381" s="1">
        <v>2320336</v>
      </c>
      <c r="J381" t="s">
        <v>15</v>
      </c>
      <c r="K381" s="1">
        <f>Tabla1[[#This Row],[cantidad]]*Tabla1[[#This Row],[precio_unitario]]</f>
        <v>2974791</v>
      </c>
      <c r="L381" s="1">
        <f>Tabla1[[#This Row],[cantidad]]*Tabla1[[#This Row],[costo_unitario]]</f>
        <v>2320336</v>
      </c>
      <c r="M381" s="1">
        <f>Tabla1[[#This Row],[venta_total]]-Tabla1[[#This Row],[costo_total]]</f>
        <v>654455</v>
      </c>
      <c r="N381" s="3">
        <f>Tabla1[[#This Row],[margen]]/Tabla1[[#This Row],[venta_total]]</f>
        <v>0.22000032943490819</v>
      </c>
    </row>
    <row r="382" spans="1:14" x14ac:dyDescent="0.25">
      <c r="A382" s="2">
        <v>45431</v>
      </c>
      <c r="B382" t="s">
        <v>10</v>
      </c>
      <c r="C382" t="s">
        <v>11</v>
      </c>
      <c r="D382" t="s">
        <v>26</v>
      </c>
      <c r="E382" t="s">
        <v>13</v>
      </c>
      <c r="F382" t="s">
        <v>27</v>
      </c>
      <c r="G382">
        <v>1</v>
      </c>
      <c r="H382" s="1">
        <v>8422071</v>
      </c>
      <c r="I382" s="1">
        <v>6737656</v>
      </c>
      <c r="J382" t="s">
        <v>31</v>
      </c>
      <c r="K382" s="1">
        <f>Tabla1[[#This Row],[cantidad]]*Tabla1[[#This Row],[precio_unitario]]</f>
        <v>8422071</v>
      </c>
      <c r="L382" s="1">
        <f>Tabla1[[#This Row],[cantidad]]*Tabla1[[#This Row],[costo_unitario]]</f>
        <v>6737656</v>
      </c>
      <c r="M382" s="1">
        <f>Tabla1[[#This Row],[venta_total]]-Tabla1[[#This Row],[costo_total]]</f>
        <v>1684415</v>
      </c>
      <c r="N382" s="3">
        <f>Tabla1[[#This Row],[margen]]/Tabla1[[#This Row],[venta_total]]</f>
        <v>0.20000009498851293</v>
      </c>
    </row>
    <row r="383" spans="1:14" x14ac:dyDescent="0.25">
      <c r="A383" s="2">
        <v>45414</v>
      </c>
      <c r="B383" t="s">
        <v>18</v>
      </c>
      <c r="C383" t="s">
        <v>11</v>
      </c>
      <c r="D383" t="s">
        <v>26</v>
      </c>
      <c r="E383" t="s">
        <v>13</v>
      </c>
      <c r="F383" t="s">
        <v>27</v>
      </c>
      <c r="G383">
        <v>1</v>
      </c>
      <c r="H383" s="1">
        <v>5925913</v>
      </c>
      <c r="I383" s="1">
        <v>4740730</v>
      </c>
      <c r="J383" t="s">
        <v>29</v>
      </c>
      <c r="K383" s="1">
        <f>Tabla1[[#This Row],[cantidad]]*Tabla1[[#This Row],[precio_unitario]]</f>
        <v>5925913</v>
      </c>
      <c r="L383" s="1">
        <f>Tabla1[[#This Row],[cantidad]]*Tabla1[[#This Row],[costo_unitario]]</f>
        <v>4740730</v>
      </c>
      <c r="M383" s="1">
        <f>Tabla1[[#This Row],[venta_total]]-Tabla1[[#This Row],[costo_total]]</f>
        <v>1185183</v>
      </c>
      <c r="N383" s="3">
        <f>Tabla1[[#This Row],[margen]]/Tabla1[[#This Row],[venta_total]]</f>
        <v>0.20000006750014723</v>
      </c>
    </row>
    <row r="384" spans="1:14" x14ac:dyDescent="0.25">
      <c r="A384" s="2">
        <v>45314</v>
      </c>
      <c r="B384" t="s">
        <v>34</v>
      </c>
      <c r="C384" t="s">
        <v>11</v>
      </c>
      <c r="D384" t="s">
        <v>12</v>
      </c>
      <c r="E384" t="s">
        <v>16</v>
      </c>
      <c r="F384" t="s">
        <v>17</v>
      </c>
      <c r="G384">
        <v>1</v>
      </c>
      <c r="H384" s="1">
        <v>2930403</v>
      </c>
      <c r="I384" s="1">
        <v>2285714</v>
      </c>
      <c r="J384" t="s">
        <v>31</v>
      </c>
      <c r="K384" s="1">
        <f>Tabla1[[#This Row],[cantidad]]*Tabla1[[#This Row],[precio_unitario]]</f>
        <v>2930403</v>
      </c>
      <c r="L384" s="1">
        <f>Tabla1[[#This Row],[cantidad]]*Tabla1[[#This Row],[costo_unitario]]</f>
        <v>2285714</v>
      </c>
      <c r="M384" s="1">
        <f>Tabla1[[#This Row],[venta_total]]-Tabla1[[#This Row],[costo_total]]</f>
        <v>644689</v>
      </c>
      <c r="N384" s="3">
        <f>Tabla1[[#This Row],[margen]]/Tabla1[[#This Row],[venta_total]]</f>
        <v>0.22000011602499725</v>
      </c>
    </row>
    <row r="385" spans="1:14" x14ac:dyDescent="0.25">
      <c r="A385" s="2">
        <v>45356</v>
      </c>
      <c r="B385" t="s">
        <v>18</v>
      </c>
      <c r="C385" t="s">
        <v>11</v>
      </c>
      <c r="D385" t="s">
        <v>12</v>
      </c>
      <c r="E385" t="s">
        <v>20</v>
      </c>
      <c r="F385" t="s">
        <v>37</v>
      </c>
      <c r="G385">
        <v>1</v>
      </c>
      <c r="H385" s="1">
        <v>1759046</v>
      </c>
      <c r="I385" s="1">
        <v>1319284</v>
      </c>
      <c r="J385" t="s">
        <v>29</v>
      </c>
      <c r="K385" s="1">
        <f>Tabla1[[#This Row],[cantidad]]*Tabla1[[#This Row],[precio_unitario]]</f>
        <v>1759046</v>
      </c>
      <c r="L385" s="1">
        <f>Tabla1[[#This Row],[cantidad]]*Tabla1[[#This Row],[costo_unitario]]</f>
        <v>1319284</v>
      </c>
      <c r="M385" s="1">
        <f>Tabla1[[#This Row],[venta_total]]-Tabla1[[#This Row],[costo_total]]</f>
        <v>439762</v>
      </c>
      <c r="N385" s="3">
        <f>Tabla1[[#This Row],[margen]]/Tabla1[[#This Row],[venta_total]]</f>
        <v>0.25000028424498277</v>
      </c>
    </row>
    <row r="386" spans="1:14" x14ac:dyDescent="0.25">
      <c r="A386" s="2">
        <v>45388</v>
      </c>
      <c r="B386" t="s">
        <v>34</v>
      </c>
      <c r="C386" t="s">
        <v>11</v>
      </c>
      <c r="D386" t="s">
        <v>23</v>
      </c>
      <c r="E386" t="s">
        <v>20</v>
      </c>
      <c r="F386" t="s">
        <v>30</v>
      </c>
      <c r="G386">
        <v>1</v>
      </c>
      <c r="H386" s="1">
        <v>882985</v>
      </c>
      <c r="I386" s="1">
        <v>618089</v>
      </c>
      <c r="J386" t="s">
        <v>15</v>
      </c>
      <c r="K386" s="1">
        <f>Tabla1[[#This Row],[cantidad]]*Tabla1[[#This Row],[precio_unitario]]</f>
        <v>882985</v>
      </c>
      <c r="L386" s="1">
        <f>Tabla1[[#This Row],[cantidad]]*Tabla1[[#This Row],[costo_unitario]]</f>
        <v>618089</v>
      </c>
      <c r="M386" s="1">
        <f>Tabla1[[#This Row],[venta_total]]-Tabla1[[#This Row],[costo_total]]</f>
        <v>264896</v>
      </c>
      <c r="N386" s="3">
        <f>Tabla1[[#This Row],[margen]]/Tabla1[[#This Row],[venta_total]]</f>
        <v>0.300000566261035</v>
      </c>
    </row>
    <row r="387" spans="1:14" x14ac:dyDescent="0.25">
      <c r="A387" s="2">
        <v>45470</v>
      </c>
      <c r="B387" t="s">
        <v>10</v>
      </c>
      <c r="C387" t="s">
        <v>11</v>
      </c>
      <c r="D387" t="s">
        <v>38</v>
      </c>
      <c r="E387" t="s">
        <v>20</v>
      </c>
      <c r="F387" t="s">
        <v>42</v>
      </c>
      <c r="G387">
        <v>1</v>
      </c>
      <c r="H387" s="1">
        <v>2143673</v>
      </c>
      <c r="I387" s="1">
        <v>1543444</v>
      </c>
      <c r="J387" t="s">
        <v>22</v>
      </c>
      <c r="K387" s="1">
        <f>Tabla1[[#This Row],[cantidad]]*Tabla1[[#This Row],[precio_unitario]]</f>
        <v>2143673</v>
      </c>
      <c r="L387" s="1">
        <f>Tabla1[[#This Row],[cantidad]]*Tabla1[[#This Row],[costo_unitario]]</f>
        <v>1543444</v>
      </c>
      <c r="M387" s="1">
        <f>Tabla1[[#This Row],[venta_total]]-Tabla1[[#This Row],[costo_total]]</f>
        <v>600229</v>
      </c>
      <c r="N387" s="3">
        <f>Tabla1[[#This Row],[margen]]/Tabla1[[#This Row],[venta_total]]</f>
        <v>0.28000026123387289</v>
      </c>
    </row>
    <row r="388" spans="1:14" x14ac:dyDescent="0.25">
      <c r="A388" s="2">
        <v>45445</v>
      </c>
      <c r="B388" t="s">
        <v>10</v>
      </c>
      <c r="C388" t="s">
        <v>11</v>
      </c>
      <c r="D388" t="s">
        <v>23</v>
      </c>
      <c r="E388" t="s">
        <v>16</v>
      </c>
      <c r="F388" t="s">
        <v>24</v>
      </c>
      <c r="G388">
        <v>1</v>
      </c>
      <c r="H388" s="1">
        <v>1599779</v>
      </c>
      <c r="I388" s="1">
        <v>1199834</v>
      </c>
      <c r="J388" t="s">
        <v>22</v>
      </c>
      <c r="K388" s="1">
        <f>Tabla1[[#This Row],[cantidad]]*Tabla1[[#This Row],[precio_unitario]]</f>
        <v>1599779</v>
      </c>
      <c r="L388" s="1">
        <f>Tabla1[[#This Row],[cantidad]]*Tabla1[[#This Row],[costo_unitario]]</f>
        <v>1199834</v>
      </c>
      <c r="M388" s="1">
        <f>Tabla1[[#This Row],[venta_total]]-Tabla1[[#This Row],[costo_total]]</f>
        <v>399945</v>
      </c>
      <c r="N388" s="3">
        <f>Tabla1[[#This Row],[margen]]/Tabla1[[#This Row],[venta_total]]</f>
        <v>0.25000015627158501</v>
      </c>
    </row>
    <row r="389" spans="1:14" x14ac:dyDescent="0.25">
      <c r="A389" s="2">
        <v>45386</v>
      </c>
      <c r="B389" t="s">
        <v>32</v>
      </c>
      <c r="C389" t="s">
        <v>11</v>
      </c>
      <c r="D389" t="s">
        <v>38</v>
      </c>
      <c r="E389" t="s">
        <v>20</v>
      </c>
      <c r="F389" t="s">
        <v>42</v>
      </c>
      <c r="G389">
        <v>1</v>
      </c>
      <c r="H389" s="1">
        <v>3064560</v>
      </c>
      <c r="I389" s="1">
        <v>2206483</v>
      </c>
      <c r="J389" t="s">
        <v>22</v>
      </c>
      <c r="K389" s="1">
        <f>Tabla1[[#This Row],[cantidad]]*Tabla1[[#This Row],[precio_unitario]]</f>
        <v>3064560</v>
      </c>
      <c r="L389" s="1">
        <f>Tabla1[[#This Row],[cantidad]]*Tabla1[[#This Row],[costo_unitario]]</f>
        <v>2206483</v>
      </c>
      <c r="M389" s="1">
        <f>Tabla1[[#This Row],[venta_total]]-Tabla1[[#This Row],[costo_total]]</f>
        <v>858077</v>
      </c>
      <c r="N389" s="3">
        <f>Tabla1[[#This Row],[margen]]/Tabla1[[#This Row],[venta_total]]</f>
        <v>0.2800000652622236</v>
      </c>
    </row>
    <row r="390" spans="1:14" x14ac:dyDescent="0.25">
      <c r="A390" s="2">
        <v>45421</v>
      </c>
      <c r="B390" t="s">
        <v>32</v>
      </c>
      <c r="C390" t="s">
        <v>11</v>
      </c>
      <c r="D390" t="s">
        <v>19</v>
      </c>
      <c r="E390" t="s">
        <v>13</v>
      </c>
      <c r="F390" t="s">
        <v>33</v>
      </c>
      <c r="G390">
        <v>3</v>
      </c>
      <c r="H390" s="1">
        <v>1488137</v>
      </c>
      <c r="I390" s="1">
        <v>1041695</v>
      </c>
      <c r="J390" t="s">
        <v>22</v>
      </c>
      <c r="K390" s="1">
        <f>Tabla1[[#This Row],[cantidad]]*Tabla1[[#This Row],[precio_unitario]]</f>
        <v>4464411</v>
      </c>
      <c r="L390" s="1">
        <f>Tabla1[[#This Row],[cantidad]]*Tabla1[[#This Row],[costo_unitario]]</f>
        <v>3125085</v>
      </c>
      <c r="M390" s="1">
        <f>Tabla1[[#This Row],[venta_total]]-Tabla1[[#This Row],[costo_total]]</f>
        <v>1339326</v>
      </c>
      <c r="N390" s="3">
        <f>Tabla1[[#This Row],[margen]]/Tabla1[[#This Row],[venta_total]]</f>
        <v>0.30000060478302737</v>
      </c>
    </row>
    <row r="391" spans="1:14" x14ac:dyDescent="0.25">
      <c r="A391" s="2">
        <v>45463</v>
      </c>
      <c r="B391" t="s">
        <v>34</v>
      </c>
      <c r="C391" t="s">
        <v>11</v>
      </c>
      <c r="D391" t="s">
        <v>19</v>
      </c>
      <c r="E391" t="s">
        <v>20</v>
      </c>
      <c r="F391" t="s">
        <v>21</v>
      </c>
      <c r="G391">
        <v>3</v>
      </c>
      <c r="H391" s="1">
        <v>451474</v>
      </c>
      <c r="I391" s="1">
        <v>270884</v>
      </c>
      <c r="J391" t="s">
        <v>25</v>
      </c>
      <c r="K391" s="1">
        <f>Tabla1[[#This Row],[cantidad]]*Tabla1[[#This Row],[precio_unitario]]</f>
        <v>1354422</v>
      </c>
      <c r="L391" s="1">
        <f>Tabla1[[#This Row],[cantidad]]*Tabla1[[#This Row],[costo_unitario]]</f>
        <v>812652</v>
      </c>
      <c r="M391" s="1">
        <f>Tabla1[[#This Row],[venta_total]]-Tabla1[[#This Row],[costo_total]]</f>
        <v>541770</v>
      </c>
      <c r="N391" s="3">
        <f>Tabla1[[#This Row],[margen]]/Tabla1[[#This Row],[venta_total]]</f>
        <v>0.40000088598678996</v>
      </c>
    </row>
    <row r="392" spans="1:14" x14ac:dyDescent="0.25">
      <c r="A392" s="2">
        <v>45416</v>
      </c>
      <c r="B392" t="s">
        <v>34</v>
      </c>
      <c r="C392" t="s">
        <v>11</v>
      </c>
      <c r="D392" t="s">
        <v>38</v>
      </c>
      <c r="E392" t="s">
        <v>20</v>
      </c>
      <c r="F392" t="s">
        <v>42</v>
      </c>
      <c r="G392">
        <v>1</v>
      </c>
      <c r="H392" s="1">
        <v>2837102</v>
      </c>
      <c r="I392" s="1">
        <v>2042713</v>
      </c>
      <c r="J392" t="s">
        <v>22</v>
      </c>
      <c r="K392" s="1">
        <f>Tabla1[[#This Row],[cantidad]]*Tabla1[[#This Row],[precio_unitario]]</f>
        <v>2837102</v>
      </c>
      <c r="L392" s="1">
        <f>Tabla1[[#This Row],[cantidad]]*Tabla1[[#This Row],[costo_unitario]]</f>
        <v>2042713</v>
      </c>
      <c r="M392" s="1">
        <f>Tabla1[[#This Row],[venta_total]]-Tabla1[[#This Row],[costo_total]]</f>
        <v>794389</v>
      </c>
      <c r="N392" s="3">
        <f>Tabla1[[#This Row],[margen]]/Tabla1[[#This Row],[venta_total]]</f>
        <v>0.2800001550878326</v>
      </c>
    </row>
    <row r="393" spans="1:14" x14ac:dyDescent="0.25">
      <c r="A393" s="2">
        <v>45402</v>
      </c>
      <c r="B393" t="s">
        <v>10</v>
      </c>
      <c r="C393" t="s">
        <v>11</v>
      </c>
      <c r="D393" t="s">
        <v>12</v>
      </c>
      <c r="E393" t="s">
        <v>13</v>
      </c>
      <c r="F393" t="s">
        <v>14</v>
      </c>
      <c r="G393">
        <v>1</v>
      </c>
      <c r="H393" s="1">
        <v>4433351</v>
      </c>
      <c r="I393" s="1">
        <v>3546680</v>
      </c>
      <c r="J393" t="s">
        <v>15</v>
      </c>
      <c r="K393" s="1">
        <f>Tabla1[[#This Row],[cantidad]]*Tabla1[[#This Row],[precio_unitario]]</f>
        <v>4433351</v>
      </c>
      <c r="L393" s="1">
        <f>Tabla1[[#This Row],[cantidad]]*Tabla1[[#This Row],[costo_unitario]]</f>
        <v>3546680</v>
      </c>
      <c r="M393" s="1">
        <f>Tabla1[[#This Row],[venta_total]]-Tabla1[[#This Row],[costo_total]]</f>
        <v>886671</v>
      </c>
      <c r="N393" s="3">
        <f>Tabla1[[#This Row],[margen]]/Tabla1[[#This Row],[venta_total]]</f>
        <v>0.20000018045040874</v>
      </c>
    </row>
    <row r="394" spans="1:14" x14ac:dyDescent="0.25">
      <c r="A394" s="2">
        <v>45312</v>
      </c>
      <c r="B394" t="s">
        <v>32</v>
      </c>
      <c r="C394" t="s">
        <v>11</v>
      </c>
      <c r="D394" t="s">
        <v>38</v>
      </c>
      <c r="E394" t="s">
        <v>20</v>
      </c>
      <c r="F394" t="s">
        <v>42</v>
      </c>
      <c r="G394">
        <v>1</v>
      </c>
      <c r="H394" s="1">
        <v>3222643</v>
      </c>
      <c r="I394" s="1">
        <v>2320302</v>
      </c>
      <c r="J394" t="s">
        <v>29</v>
      </c>
      <c r="K394" s="1">
        <f>Tabla1[[#This Row],[cantidad]]*Tabla1[[#This Row],[precio_unitario]]</f>
        <v>3222643</v>
      </c>
      <c r="L394" s="1">
        <f>Tabla1[[#This Row],[cantidad]]*Tabla1[[#This Row],[costo_unitario]]</f>
        <v>2320302</v>
      </c>
      <c r="M394" s="1">
        <f>Tabla1[[#This Row],[venta_total]]-Tabla1[[#This Row],[costo_total]]</f>
        <v>902341</v>
      </c>
      <c r="N394" s="3">
        <f>Tabla1[[#This Row],[margen]]/Tabla1[[#This Row],[venta_total]]</f>
        <v>0.28000029789213388</v>
      </c>
    </row>
    <row r="395" spans="1:14" x14ac:dyDescent="0.25">
      <c r="A395" s="2">
        <v>45325</v>
      </c>
      <c r="B395" t="s">
        <v>32</v>
      </c>
      <c r="C395" t="s">
        <v>11</v>
      </c>
      <c r="D395" t="s">
        <v>38</v>
      </c>
      <c r="E395" t="s">
        <v>16</v>
      </c>
      <c r="F395" t="s">
        <v>39</v>
      </c>
      <c r="G395">
        <v>1</v>
      </c>
      <c r="H395" s="1">
        <v>3828071</v>
      </c>
      <c r="I395" s="1">
        <v>2871053</v>
      </c>
      <c r="J395" t="s">
        <v>31</v>
      </c>
      <c r="K395" s="1">
        <f>Tabla1[[#This Row],[cantidad]]*Tabla1[[#This Row],[precio_unitario]]</f>
        <v>3828071</v>
      </c>
      <c r="L395" s="1">
        <f>Tabla1[[#This Row],[cantidad]]*Tabla1[[#This Row],[costo_unitario]]</f>
        <v>2871053</v>
      </c>
      <c r="M395" s="1">
        <f>Tabla1[[#This Row],[venta_total]]-Tabla1[[#This Row],[costo_total]]</f>
        <v>957018</v>
      </c>
      <c r="N395" s="3">
        <f>Tabla1[[#This Row],[margen]]/Tabla1[[#This Row],[venta_total]]</f>
        <v>0.25000006530704366</v>
      </c>
    </row>
    <row r="396" spans="1:14" x14ac:dyDescent="0.25">
      <c r="A396" s="2">
        <v>45356</v>
      </c>
      <c r="B396" t="s">
        <v>10</v>
      </c>
      <c r="C396" t="s">
        <v>11</v>
      </c>
      <c r="D396" t="s">
        <v>26</v>
      </c>
      <c r="E396" t="s">
        <v>20</v>
      </c>
      <c r="F396" t="s">
        <v>36</v>
      </c>
      <c r="G396">
        <v>1</v>
      </c>
      <c r="H396" s="1">
        <v>2400562</v>
      </c>
      <c r="I396" s="1">
        <v>1800421</v>
      </c>
      <c r="J396" t="s">
        <v>29</v>
      </c>
      <c r="K396" s="1">
        <f>Tabla1[[#This Row],[cantidad]]*Tabla1[[#This Row],[precio_unitario]]</f>
        <v>2400562</v>
      </c>
      <c r="L396" s="1">
        <f>Tabla1[[#This Row],[cantidad]]*Tabla1[[#This Row],[costo_unitario]]</f>
        <v>1800421</v>
      </c>
      <c r="M396" s="1">
        <f>Tabla1[[#This Row],[venta_total]]-Tabla1[[#This Row],[costo_total]]</f>
        <v>600141</v>
      </c>
      <c r="N396" s="3">
        <f>Tabla1[[#This Row],[margen]]/Tabla1[[#This Row],[venta_total]]</f>
        <v>0.25000020828456004</v>
      </c>
    </row>
    <row r="397" spans="1:14" x14ac:dyDescent="0.25">
      <c r="A397" s="2">
        <v>45396</v>
      </c>
      <c r="B397" t="s">
        <v>34</v>
      </c>
      <c r="C397" t="s">
        <v>11</v>
      </c>
      <c r="D397" t="s">
        <v>19</v>
      </c>
      <c r="E397" t="s">
        <v>13</v>
      </c>
      <c r="F397" t="s">
        <v>33</v>
      </c>
      <c r="G397">
        <v>1</v>
      </c>
      <c r="H397" s="1">
        <v>1955772</v>
      </c>
      <c r="I397" s="1">
        <v>1369040</v>
      </c>
      <c r="J397" t="s">
        <v>15</v>
      </c>
      <c r="K397" s="1">
        <f>Tabla1[[#This Row],[cantidad]]*Tabla1[[#This Row],[precio_unitario]]</f>
        <v>1955772</v>
      </c>
      <c r="L397" s="1">
        <f>Tabla1[[#This Row],[cantidad]]*Tabla1[[#This Row],[costo_unitario]]</f>
        <v>1369040</v>
      </c>
      <c r="M397" s="1">
        <f>Tabla1[[#This Row],[venta_total]]-Tabla1[[#This Row],[costo_total]]</f>
        <v>586732</v>
      </c>
      <c r="N397" s="3">
        <f>Tabla1[[#This Row],[margen]]/Tabla1[[#This Row],[venta_total]]</f>
        <v>0.30000020452281762</v>
      </c>
    </row>
    <row r="398" spans="1:14" x14ac:dyDescent="0.25">
      <c r="A398" s="2">
        <v>45347</v>
      </c>
      <c r="B398" t="s">
        <v>18</v>
      </c>
      <c r="C398" t="s">
        <v>11</v>
      </c>
      <c r="D398" t="s">
        <v>19</v>
      </c>
      <c r="E398" t="s">
        <v>16</v>
      </c>
      <c r="F398" t="s">
        <v>35</v>
      </c>
      <c r="G398">
        <v>2</v>
      </c>
      <c r="H398" s="1">
        <v>879677</v>
      </c>
      <c r="I398" s="1">
        <v>571790</v>
      </c>
      <c r="J398" t="s">
        <v>31</v>
      </c>
      <c r="K398" s="1">
        <f>Tabla1[[#This Row],[cantidad]]*Tabla1[[#This Row],[precio_unitario]]</f>
        <v>1759354</v>
      </c>
      <c r="L398" s="1">
        <f>Tabla1[[#This Row],[cantidad]]*Tabla1[[#This Row],[costo_unitario]]</f>
        <v>1143580</v>
      </c>
      <c r="M398" s="1">
        <f>Tabla1[[#This Row],[venta_total]]-Tabla1[[#This Row],[costo_total]]</f>
        <v>615774</v>
      </c>
      <c r="N398" s="3">
        <f>Tabla1[[#This Row],[margen]]/Tabla1[[#This Row],[venta_total]]</f>
        <v>0.35000005683904434</v>
      </c>
    </row>
    <row r="399" spans="1:14" x14ac:dyDescent="0.25">
      <c r="A399" s="2">
        <v>45444</v>
      </c>
      <c r="B399" t="s">
        <v>10</v>
      </c>
      <c r="C399" t="s">
        <v>11</v>
      </c>
      <c r="D399" t="s">
        <v>23</v>
      </c>
      <c r="E399" t="s">
        <v>20</v>
      </c>
      <c r="F399" t="s">
        <v>30</v>
      </c>
      <c r="G399">
        <v>1</v>
      </c>
      <c r="H399" s="1">
        <v>1039115</v>
      </c>
      <c r="I399" s="1">
        <v>727380</v>
      </c>
      <c r="J399" t="s">
        <v>25</v>
      </c>
      <c r="K399" s="1">
        <f>Tabla1[[#This Row],[cantidad]]*Tabla1[[#This Row],[precio_unitario]]</f>
        <v>1039115</v>
      </c>
      <c r="L399" s="1">
        <f>Tabla1[[#This Row],[cantidad]]*Tabla1[[#This Row],[costo_unitario]]</f>
        <v>727380</v>
      </c>
      <c r="M399" s="1">
        <f>Tabla1[[#This Row],[venta_total]]-Tabla1[[#This Row],[costo_total]]</f>
        <v>311735</v>
      </c>
      <c r="N399" s="3">
        <f>Tabla1[[#This Row],[margen]]/Tabla1[[#This Row],[venta_total]]</f>
        <v>0.30000048117869532</v>
      </c>
    </row>
    <row r="400" spans="1:14" x14ac:dyDescent="0.25">
      <c r="A400" s="2">
        <v>45429</v>
      </c>
      <c r="B400" t="s">
        <v>10</v>
      </c>
      <c r="C400" t="s">
        <v>11</v>
      </c>
      <c r="D400" t="s">
        <v>19</v>
      </c>
      <c r="E400" t="s">
        <v>16</v>
      </c>
      <c r="F400" t="s">
        <v>35</v>
      </c>
      <c r="G400">
        <v>2</v>
      </c>
      <c r="H400" s="1">
        <v>650369</v>
      </c>
      <c r="I400" s="1">
        <v>422739</v>
      </c>
      <c r="J400" t="s">
        <v>31</v>
      </c>
      <c r="K400" s="1">
        <f>Tabla1[[#This Row],[cantidad]]*Tabla1[[#This Row],[precio_unitario]]</f>
        <v>1300738</v>
      </c>
      <c r="L400" s="1">
        <f>Tabla1[[#This Row],[cantidad]]*Tabla1[[#This Row],[costo_unitario]]</f>
        <v>845478</v>
      </c>
      <c r="M400" s="1">
        <f>Tabla1[[#This Row],[venta_total]]-Tabla1[[#This Row],[costo_total]]</f>
        <v>455260</v>
      </c>
      <c r="N400" s="3">
        <f>Tabla1[[#This Row],[margen]]/Tabla1[[#This Row],[venta_total]]</f>
        <v>0.35000130695036202</v>
      </c>
    </row>
    <row r="401" spans="1:14" x14ac:dyDescent="0.25">
      <c r="A401" s="2">
        <v>45322</v>
      </c>
      <c r="B401" t="s">
        <v>10</v>
      </c>
      <c r="C401" t="s">
        <v>11</v>
      </c>
      <c r="D401" t="s">
        <v>38</v>
      </c>
      <c r="E401" t="s">
        <v>13</v>
      </c>
      <c r="F401" t="s">
        <v>41</v>
      </c>
      <c r="G401">
        <v>1</v>
      </c>
      <c r="H401" s="1">
        <v>6800815</v>
      </c>
      <c r="I401" s="1">
        <v>5440652</v>
      </c>
      <c r="J401" t="s">
        <v>15</v>
      </c>
      <c r="K401" s="1">
        <f>Tabla1[[#This Row],[cantidad]]*Tabla1[[#This Row],[precio_unitario]]</f>
        <v>6800815</v>
      </c>
      <c r="L401" s="1">
        <f>Tabla1[[#This Row],[cantidad]]*Tabla1[[#This Row],[costo_unitario]]</f>
        <v>5440652</v>
      </c>
      <c r="M401" s="1">
        <f>Tabla1[[#This Row],[venta_total]]-Tabla1[[#This Row],[costo_total]]</f>
        <v>1360163</v>
      </c>
      <c r="N401" s="3">
        <f>Tabla1[[#This Row],[margen]]/Tabla1[[#This Row],[venta_total]]</f>
        <v>0.2</v>
      </c>
    </row>
    <row r="402" spans="1:14" x14ac:dyDescent="0.25">
      <c r="A402" s="2">
        <v>45409</v>
      </c>
      <c r="B402" t="s">
        <v>18</v>
      </c>
      <c r="C402" t="s">
        <v>11</v>
      </c>
      <c r="D402" t="s">
        <v>38</v>
      </c>
      <c r="E402" t="s">
        <v>20</v>
      </c>
      <c r="F402" t="s">
        <v>42</v>
      </c>
      <c r="G402">
        <v>1</v>
      </c>
      <c r="H402" s="1">
        <v>2123840</v>
      </c>
      <c r="I402" s="1">
        <v>1529164</v>
      </c>
      <c r="J402" t="s">
        <v>29</v>
      </c>
      <c r="K402" s="1">
        <f>Tabla1[[#This Row],[cantidad]]*Tabla1[[#This Row],[precio_unitario]]</f>
        <v>2123840</v>
      </c>
      <c r="L402" s="1">
        <f>Tabla1[[#This Row],[cantidad]]*Tabla1[[#This Row],[costo_unitario]]</f>
        <v>1529164</v>
      </c>
      <c r="M402" s="1">
        <f>Tabla1[[#This Row],[venta_total]]-Tabla1[[#This Row],[costo_total]]</f>
        <v>594676</v>
      </c>
      <c r="N402" s="3">
        <f>Tabla1[[#This Row],[margen]]/Tabla1[[#This Row],[venta_total]]</f>
        <v>0.28000037667620914</v>
      </c>
    </row>
    <row r="403" spans="1:14" x14ac:dyDescent="0.25">
      <c r="A403" s="2">
        <v>45473</v>
      </c>
      <c r="B403" t="s">
        <v>32</v>
      </c>
      <c r="C403" t="s">
        <v>11</v>
      </c>
      <c r="D403" t="s">
        <v>12</v>
      </c>
      <c r="E403" t="s">
        <v>16</v>
      </c>
      <c r="F403" t="s">
        <v>17</v>
      </c>
      <c r="G403">
        <v>1</v>
      </c>
      <c r="H403" s="1">
        <v>3740119</v>
      </c>
      <c r="I403" s="1">
        <v>2917292</v>
      </c>
      <c r="J403" t="s">
        <v>22</v>
      </c>
      <c r="K403" s="1">
        <f>Tabla1[[#This Row],[cantidad]]*Tabla1[[#This Row],[precio_unitario]]</f>
        <v>3740119</v>
      </c>
      <c r="L403" s="1">
        <f>Tabla1[[#This Row],[cantidad]]*Tabla1[[#This Row],[costo_unitario]]</f>
        <v>2917292</v>
      </c>
      <c r="M403" s="1">
        <f>Tabla1[[#This Row],[venta_total]]-Tabla1[[#This Row],[costo_total]]</f>
        <v>822827</v>
      </c>
      <c r="N403" s="3">
        <f>Tabla1[[#This Row],[margen]]/Tabla1[[#This Row],[venta_total]]</f>
        <v>0.22000021924436095</v>
      </c>
    </row>
    <row r="404" spans="1:14" x14ac:dyDescent="0.25">
      <c r="A404" s="2">
        <v>45334</v>
      </c>
      <c r="B404" t="s">
        <v>10</v>
      </c>
      <c r="C404" t="s">
        <v>11</v>
      </c>
      <c r="D404" t="s">
        <v>19</v>
      </c>
      <c r="E404" t="s">
        <v>16</v>
      </c>
      <c r="F404" t="s">
        <v>35</v>
      </c>
      <c r="G404">
        <v>2</v>
      </c>
      <c r="H404" s="1">
        <v>1038926</v>
      </c>
      <c r="I404" s="1">
        <v>675301</v>
      </c>
      <c r="J404" t="s">
        <v>25</v>
      </c>
      <c r="K404" s="1">
        <f>Tabla1[[#This Row],[cantidad]]*Tabla1[[#This Row],[precio_unitario]]</f>
        <v>2077852</v>
      </c>
      <c r="L404" s="1">
        <f>Tabla1[[#This Row],[cantidad]]*Tabla1[[#This Row],[costo_unitario]]</f>
        <v>1350602</v>
      </c>
      <c r="M404" s="1">
        <f>Tabla1[[#This Row],[venta_total]]-Tabla1[[#This Row],[costo_total]]</f>
        <v>727250</v>
      </c>
      <c r="N404" s="3">
        <f>Tabla1[[#This Row],[margen]]/Tabla1[[#This Row],[venta_total]]</f>
        <v>0.35000086627921528</v>
      </c>
    </row>
    <row r="405" spans="1:14" x14ac:dyDescent="0.25">
      <c r="A405" s="2">
        <v>45456</v>
      </c>
      <c r="B405" t="s">
        <v>18</v>
      </c>
      <c r="C405" t="s">
        <v>11</v>
      </c>
      <c r="D405" t="s">
        <v>12</v>
      </c>
      <c r="E405" t="s">
        <v>20</v>
      </c>
      <c r="F405" t="s">
        <v>37</v>
      </c>
      <c r="G405">
        <v>1</v>
      </c>
      <c r="H405" s="1">
        <v>1869985</v>
      </c>
      <c r="I405" s="1">
        <v>1402488</v>
      </c>
      <c r="J405" t="s">
        <v>29</v>
      </c>
      <c r="K405" s="1">
        <f>Tabla1[[#This Row],[cantidad]]*Tabla1[[#This Row],[precio_unitario]]</f>
        <v>1869985</v>
      </c>
      <c r="L405" s="1">
        <f>Tabla1[[#This Row],[cantidad]]*Tabla1[[#This Row],[costo_unitario]]</f>
        <v>1402488</v>
      </c>
      <c r="M405" s="1">
        <f>Tabla1[[#This Row],[venta_total]]-Tabla1[[#This Row],[costo_total]]</f>
        <v>467497</v>
      </c>
      <c r="N405" s="3">
        <f>Tabla1[[#This Row],[margen]]/Tabla1[[#This Row],[venta_total]]</f>
        <v>0.25000040107273586</v>
      </c>
    </row>
    <row r="406" spans="1:14" x14ac:dyDescent="0.25">
      <c r="A406" s="2">
        <v>45409</v>
      </c>
      <c r="B406" t="s">
        <v>34</v>
      </c>
      <c r="C406" t="s">
        <v>11</v>
      </c>
      <c r="D406" t="s">
        <v>19</v>
      </c>
      <c r="E406" t="s">
        <v>20</v>
      </c>
      <c r="F406" t="s">
        <v>21</v>
      </c>
      <c r="G406">
        <v>2</v>
      </c>
      <c r="H406" s="1">
        <v>323170</v>
      </c>
      <c r="I406" s="1">
        <v>193902</v>
      </c>
      <c r="J406" t="s">
        <v>22</v>
      </c>
      <c r="K406" s="1">
        <f>Tabla1[[#This Row],[cantidad]]*Tabla1[[#This Row],[precio_unitario]]</f>
        <v>646340</v>
      </c>
      <c r="L406" s="1">
        <f>Tabla1[[#This Row],[cantidad]]*Tabla1[[#This Row],[costo_unitario]]</f>
        <v>387804</v>
      </c>
      <c r="M406" s="1">
        <f>Tabla1[[#This Row],[venta_total]]-Tabla1[[#This Row],[costo_total]]</f>
        <v>258536</v>
      </c>
      <c r="N406" s="3">
        <f>Tabla1[[#This Row],[margen]]/Tabla1[[#This Row],[venta_total]]</f>
        <v>0.4</v>
      </c>
    </row>
    <row r="407" spans="1:14" x14ac:dyDescent="0.25">
      <c r="A407" s="2">
        <v>45329</v>
      </c>
      <c r="B407" t="s">
        <v>10</v>
      </c>
      <c r="C407" t="s">
        <v>11</v>
      </c>
      <c r="D407" t="s">
        <v>26</v>
      </c>
      <c r="E407" t="s">
        <v>20</v>
      </c>
      <c r="F407" t="s">
        <v>36</v>
      </c>
      <c r="G407">
        <v>1</v>
      </c>
      <c r="H407" s="1">
        <v>2518438</v>
      </c>
      <c r="I407" s="1">
        <v>1888828</v>
      </c>
      <c r="J407" t="s">
        <v>15</v>
      </c>
      <c r="K407" s="1">
        <f>Tabla1[[#This Row],[cantidad]]*Tabla1[[#This Row],[precio_unitario]]</f>
        <v>2518438</v>
      </c>
      <c r="L407" s="1">
        <f>Tabla1[[#This Row],[cantidad]]*Tabla1[[#This Row],[costo_unitario]]</f>
        <v>1888828</v>
      </c>
      <c r="M407" s="1">
        <f>Tabla1[[#This Row],[venta_total]]-Tabla1[[#This Row],[costo_total]]</f>
        <v>629610</v>
      </c>
      <c r="N407" s="3">
        <f>Tabla1[[#This Row],[margen]]/Tabla1[[#This Row],[venta_total]]</f>
        <v>0.25000019853575906</v>
      </c>
    </row>
    <row r="408" spans="1:14" x14ac:dyDescent="0.25">
      <c r="A408" s="2">
        <v>45322</v>
      </c>
      <c r="B408" t="s">
        <v>18</v>
      </c>
      <c r="C408" t="s">
        <v>11</v>
      </c>
      <c r="D408" t="s">
        <v>26</v>
      </c>
      <c r="E408" t="s">
        <v>16</v>
      </c>
      <c r="F408" t="s">
        <v>40</v>
      </c>
      <c r="G408">
        <v>1</v>
      </c>
      <c r="H408" s="1">
        <v>4032526</v>
      </c>
      <c r="I408" s="1">
        <v>3145370</v>
      </c>
      <c r="J408" t="s">
        <v>25</v>
      </c>
      <c r="K408" s="1">
        <f>Tabla1[[#This Row],[cantidad]]*Tabla1[[#This Row],[precio_unitario]]</f>
        <v>4032526</v>
      </c>
      <c r="L408" s="1">
        <f>Tabla1[[#This Row],[cantidad]]*Tabla1[[#This Row],[costo_unitario]]</f>
        <v>3145370</v>
      </c>
      <c r="M408" s="1">
        <f>Tabla1[[#This Row],[venta_total]]-Tabla1[[#This Row],[costo_total]]</f>
        <v>887156</v>
      </c>
      <c r="N408" s="3">
        <f>Tabla1[[#This Row],[margen]]/Tabla1[[#This Row],[venta_total]]</f>
        <v>0.22000006943538616</v>
      </c>
    </row>
    <row r="409" spans="1:14" x14ac:dyDescent="0.25">
      <c r="A409" s="2">
        <v>45339</v>
      </c>
      <c r="B409" t="s">
        <v>32</v>
      </c>
      <c r="C409" t="s">
        <v>11</v>
      </c>
      <c r="D409" t="s">
        <v>26</v>
      </c>
      <c r="E409" t="s">
        <v>20</v>
      </c>
      <c r="F409" t="s">
        <v>36</v>
      </c>
      <c r="G409">
        <v>1</v>
      </c>
      <c r="H409" s="1">
        <v>2820783</v>
      </c>
      <c r="I409" s="1">
        <v>2115587</v>
      </c>
      <c r="J409" t="s">
        <v>29</v>
      </c>
      <c r="K409" s="1">
        <f>Tabla1[[#This Row],[cantidad]]*Tabla1[[#This Row],[precio_unitario]]</f>
        <v>2820783</v>
      </c>
      <c r="L409" s="1">
        <f>Tabla1[[#This Row],[cantidad]]*Tabla1[[#This Row],[costo_unitario]]</f>
        <v>2115587</v>
      </c>
      <c r="M409" s="1">
        <f>Tabla1[[#This Row],[venta_total]]-Tabla1[[#This Row],[costo_total]]</f>
        <v>705196</v>
      </c>
      <c r="N409" s="3">
        <f>Tabla1[[#This Row],[margen]]/Tabla1[[#This Row],[venta_total]]</f>
        <v>0.25000008862787387</v>
      </c>
    </row>
    <row r="410" spans="1:14" x14ac:dyDescent="0.25">
      <c r="A410" s="2">
        <v>45423</v>
      </c>
      <c r="B410" t="s">
        <v>32</v>
      </c>
      <c r="C410" t="s">
        <v>11</v>
      </c>
      <c r="D410" t="s">
        <v>19</v>
      </c>
      <c r="E410" t="s">
        <v>20</v>
      </c>
      <c r="F410" t="s">
        <v>21</v>
      </c>
      <c r="G410">
        <v>2</v>
      </c>
      <c r="H410" s="1">
        <v>189256</v>
      </c>
      <c r="I410" s="1">
        <v>113553</v>
      </c>
      <c r="J410" t="s">
        <v>25</v>
      </c>
      <c r="K410" s="1">
        <f>Tabla1[[#This Row],[cantidad]]*Tabla1[[#This Row],[precio_unitario]]</f>
        <v>378512</v>
      </c>
      <c r="L410" s="1">
        <f>Tabla1[[#This Row],[cantidad]]*Tabla1[[#This Row],[costo_unitario]]</f>
        <v>227106</v>
      </c>
      <c r="M410" s="1">
        <f>Tabla1[[#This Row],[venta_total]]-Tabla1[[#This Row],[costo_total]]</f>
        <v>151406</v>
      </c>
      <c r="N410" s="3">
        <f>Tabla1[[#This Row],[margen]]/Tabla1[[#This Row],[venta_total]]</f>
        <v>0.40000317030899946</v>
      </c>
    </row>
    <row r="411" spans="1:14" x14ac:dyDescent="0.25">
      <c r="A411" s="2">
        <v>45326</v>
      </c>
      <c r="B411" t="s">
        <v>10</v>
      </c>
      <c r="C411" t="s">
        <v>11</v>
      </c>
      <c r="D411" t="s">
        <v>23</v>
      </c>
      <c r="E411" t="s">
        <v>20</v>
      </c>
      <c r="F411" t="s">
        <v>30</v>
      </c>
      <c r="G411">
        <v>1</v>
      </c>
      <c r="H411" s="1">
        <v>1061264</v>
      </c>
      <c r="I411" s="1">
        <v>742884</v>
      </c>
      <c r="J411" t="s">
        <v>29</v>
      </c>
      <c r="K411" s="1">
        <f>Tabla1[[#This Row],[cantidad]]*Tabla1[[#This Row],[precio_unitario]]</f>
        <v>1061264</v>
      </c>
      <c r="L411" s="1">
        <f>Tabla1[[#This Row],[cantidad]]*Tabla1[[#This Row],[costo_unitario]]</f>
        <v>742884</v>
      </c>
      <c r="M411" s="1">
        <f>Tabla1[[#This Row],[venta_total]]-Tabla1[[#This Row],[costo_total]]</f>
        <v>318380</v>
      </c>
      <c r="N411" s="3">
        <f>Tabla1[[#This Row],[margen]]/Tabla1[[#This Row],[venta_total]]</f>
        <v>0.30000075381808861</v>
      </c>
    </row>
    <row r="412" spans="1:14" x14ac:dyDescent="0.25">
      <c r="A412" s="2">
        <v>45447</v>
      </c>
      <c r="B412" t="s">
        <v>10</v>
      </c>
      <c r="C412" t="s">
        <v>11</v>
      </c>
      <c r="D412" t="s">
        <v>19</v>
      </c>
      <c r="E412" t="s">
        <v>16</v>
      </c>
      <c r="F412" t="s">
        <v>35</v>
      </c>
      <c r="G412">
        <v>1</v>
      </c>
      <c r="H412" s="1">
        <v>1126388</v>
      </c>
      <c r="I412" s="1">
        <v>732152</v>
      </c>
      <c r="J412" t="s">
        <v>25</v>
      </c>
      <c r="K412" s="1">
        <f>Tabla1[[#This Row],[cantidad]]*Tabla1[[#This Row],[precio_unitario]]</f>
        <v>1126388</v>
      </c>
      <c r="L412" s="1">
        <f>Tabla1[[#This Row],[cantidad]]*Tabla1[[#This Row],[costo_unitario]]</f>
        <v>732152</v>
      </c>
      <c r="M412" s="1">
        <f>Tabla1[[#This Row],[venta_total]]-Tabla1[[#This Row],[costo_total]]</f>
        <v>394236</v>
      </c>
      <c r="N412" s="3">
        <f>Tabla1[[#This Row],[margen]]/Tabla1[[#This Row],[venta_total]]</f>
        <v>0.35000017755870977</v>
      </c>
    </row>
    <row r="413" spans="1:14" x14ac:dyDescent="0.25">
      <c r="A413" s="2">
        <v>45364</v>
      </c>
      <c r="B413" t="s">
        <v>18</v>
      </c>
      <c r="C413" t="s">
        <v>11</v>
      </c>
      <c r="D413" t="s">
        <v>12</v>
      </c>
      <c r="E413" t="s">
        <v>16</v>
      </c>
      <c r="F413" t="s">
        <v>17</v>
      </c>
      <c r="G413">
        <v>1</v>
      </c>
      <c r="H413" s="1">
        <v>3545464</v>
      </c>
      <c r="I413" s="1">
        <v>2765461</v>
      </c>
      <c r="J413" t="s">
        <v>22</v>
      </c>
      <c r="K413" s="1">
        <f>Tabla1[[#This Row],[cantidad]]*Tabla1[[#This Row],[precio_unitario]]</f>
        <v>3545464</v>
      </c>
      <c r="L413" s="1">
        <f>Tabla1[[#This Row],[cantidad]]*Tabla1[[#This Row],[costo_unitario]]</f>
        <v>2765461</v>
      </c>
      <c r="M413" s="1">
        <f>Tabla1[[#This Row],[venta_total]]-Tabla1[[#This Row],[costo_total]]</f>
        <v>780003</v>
      </c>
      <c r="N413" s="3">
        <f>Tabla1[[#This Row],[margen]]/Tabla1[[#This Row],[venta_total]]</f>
        <v>0.22000025948648752</v>
      </c>
    </row>
    <row r="414" spans="1:14" x14ac:dyDescent="0.25">
      <c r="A414" s="2">
        <v>45393</v>
      </c>
      <c r="B414" t="s">
        <v>18</v>
      </c>
      <c r="C414" t="s">
        <v>11</v>
      </c>
      <c r="D414" t="s">
        <v>23</v>
      </c>
      <c r="E414" t="s">
        <v>13</v>
      </c>
      <c r="F414" t="s">
        <v>28</v>
      </c>
      <c r="G414">
        <v>1</v>
      </c>
      <c r="H414" s="1">
        <v>3387178</v>
      </c>
      <c r="I414" s="1">
        <v>2709742</v>
      </c>
      <c r="J414" t="s">
        <v>29</v>
      </c>
      <c r="K414" s="1">
        <f>Tabla1[[#This Row],[cantidad]]*Tabla1[[#This Row],[precio_unitario]]</f>
        <v>3387178</v>
      </c>
      <c r="L414" s="1">
        <f>Tabla1[[#This Row],[cantidad]]*Tabla1[[#This Row],[costo_unitario]]</f>
        <v>2709742</v>
      </c>
      <c r="M414" s="1">
        <f>Tabla1[[#This Row],[venta_total]]-Tabla1[[#This Row],[costo_total]]</f>
        <v>677436</v>
      </c>
      <c r="N414" s="3">
        <f>Tabla1[[#This Row],[margen]]/Tabla1[[#This Row],[venta_total]]</f>
        <v>0.20000011809240612</v>
      </c>
    </row>
    <row r="415" spans="1:14" x14ac:dyDescent="0.25">
      <c r="A415" s="2">
        <v>45413</v>
      </c>
      <c r="B415" t="s">
        <v>18</v>
      </c>
      <c r="C415" t="s">
        <v>11</v>
      </c>
      <c r="D415" t="s">
        <v>26</v>
      </c>
      <c r="E415" t="s">
        <v>13</v>
      </c>
      <c r="F415" t="s">
        <v>27</v>
      </c>
      <c r="G415">
        <v>1</v>
      </c>
      <c r="H415" s="1">
        <v>7356270</v>
      </c>
      <c r="I415" s="1">
        <v>5885016</v>
      </c>
      <c r="J415" t="s">
        <v>31</v>
      </c>
      <c r="K415" s="1">
        <f>Tabla1[[#This Row],[cantidad]]*Tabla1[[#This Row],[precio_unitario]]</f>
        <v>7356270</v>
      </c>
      <c r="L415" s="1">
        <f>Tabla1[[#This Row],[cantidad]]*Tabla1[[#This Row],[costo_unitario]]</f>
        <v>5885016</v>
      </c>
      <c r="M415" s="1">
        <f>Tabla1[[#This Row],[venta_total]]-Tabla1[[#This Row],[costo_total]]</f>
        <v>1471254</v>
      </c>
      <c r="N415" s="3">
        <f>Tabla1[[#This Row],[margen]]/Tabla1[[#This Row],[venta_total]]</f>
        <v>0.2</v>
      </c>
    </row>
    <row r="416" spans="1:14" x14ac:dyDescent="0.25">
      <c r="A416" s="2">
        <v>45347</v>
      </c>
      <c r="B416" t="s">
        <v>32</v>
      </c>
      <c r="C416" t="s">
        <v>11</v>
      </c>
      <c r="D416" t="s">
        <v>19</v>
      </c>
      <c r="E416" t="s">
        <v>16</v>
      </c>
      <c r="F416" t="s">
        <v>35</v>
      </c>
      <c r="G416">
        <v>2</v>
      </c>
      <c r="H416" s="1">
        <v>645432</v>
      </c>
      <c r="I416" s="1">
        <v>419530</v>
      </c>
      <c r="J416" t="s">
        <v>31</v>
      </c>
      <c r="K416" s="1">
        <f>Tabla1[[#This Row],[cantidad]]*Tabla1[[#This Row],[precio_unitario]]</f>
        <v>1290864</v>
      </c>
      <c r="L416" s="1">
        <f>Tabla1[[#This Row],[cantidad]]*Tabla1[[#This Row],[costo_unitario]]</f>
        <v>839060</v>
      </c>
      <c r="M416" s="1">
        <f>Tabla1[[#This Row],[venta_total]]-Tabla1[[#This Row],[costo_total]]</f>
        <v>451804</v>
      </c>
      <c r="N416" s="3">
        <f>Tabla1[[#This Row],[margen]]/Tabla1[[#This Row],[venta_total]]</f>
        <v>0.35000123947991424</v>
      </c>
    </row>
    <row r="417" spans="1:14" x14ac:dyDescent="0.25">
      <c r="A417" s="2">
        <v>45308</v>
      </c>
      <c r="B417" t="s">
        <v>10</v>
      </c>
      <c r="C417" t="s">
        <v>11</v>
      </c>
      <c r="D417" t="s">
        <v>23</v>
      </c>
      <c r="E417" t="s">
        <v>16</v>
      </c>
      <c r="F417" t="s">
        <v>24</v>
      </c>
      <c r="G417">
        <v>1</v>
      </c>
      <c r="H417" s="1">
        <v>1639346</v>
      </c>
      <c r="I417" s="1">
        <v>1229509</v>
      </c>
      <c r="J417" t="s">
        <v>31</v>
      </c>
      <c r="K417" s="1">
        <f>Tabla1[[#This Row],[cantidad]]*Tabla1[[#This Row],[precio_unitario]]</f>
        <v>1639346</v>
      </c>
      <c r="L417" s="1">
        <f>Tabla1[[#This Row],[cantidad]]*Tabla1[[#This Row],[costo_unitario]]</f>
        <v>1229509</v>
      </c>
      <c r="M417" s="1">
        <f>Tabla1[[#This Row],[venta_total]]-Tabla1[[#This Row],[costo_total]]</f>
        <v>409837</v>
      </c>
      <c r="N417" s="3">
        <f>Tabla1[[#This Row],[margen]]/Tabla1[[#This Row],[venta_total]]</f>
        <v>0.25000030499967668</v>
      </c>
    </row>
    <row r="418" spans="1:14" x14ac:dyDescent="0.25">
      <c r="A418" s="2">
        <v>45293</v>
      </c>
      <c r="B418" t="s">
        <v>18</v>
      </c>
      <c r="C418" t="s">
        <v>11</v>
      </c>
      <c r="D418" t="s">
        <v>12</v>
      </c>
      <c r="E418" t="s">
        <v>20</v>
      </c>
      <c r="F418" t="s">
        <v>37</v>
      </c>
      <c r="G418">
        <v>1</v>
      </c>
      <c r="H418" s="1">
        <v>1966280</v>
      </c>
      <c r="I418" s="1">
        <v>1474710</v>
      </c>
      <c r="J418" t="s">
        <v>31</v>
      </c>
      <c r="K418" s="1">
        <f>Tabla1[[#This Row],[cantidad]]*Tabla1[[#This Row],[precio_unitario]]</f>
        <v>1966280</v>
      </c>
      <c r="L418" s="1">
        <f>Tabla1[[#This Row],[cantidad]]*Tabla1[[#This Row],[costo_unitario]]</f>
        <v>1474710</v>
      </c>
      <c r="M418" s="1">
        <f>Tabla1[[#This Row],[venta_total]]-Tabla1[[#This Row],[costo_total]]</f>
        <v>491570</v>
      </c>
      <c r="N418" s="3">
        <f>Tabla1[[#This Row],[margen]]/Tabla1[[#This Row],[venta_total]]</f>
        <v>0.25</v>
      </c>
    </row>
    <row r="419" spans="1:14" x14ac:dyDescent="0.25">
      <c r="A419" s="2">
        <v>45330</v>
      </c>
      <c r="B419" t="s">
        <v>34</v>
      </c>
      <c r="C419" t="s">
        <v>11</v>
      </c>
      <c r="D419" t="s">
        <v>38</v>
      </c>
      <c r="E419" t="s">
        <v>16</v>
      </c>
      <c r="F419" t="s">
        <v>39</v>
      </c>
      <c r="G419">
        <v>1</v>
      </c>
      <c r="H419" s="1">
        <v>4107918</v>
      </c>
      <c r="I419" s="1">
        <v>3080938</v>
      </c>
      <c r="J419" t="s">
        <v>29</v>
      </c>
      <c r="K419" s="1">
        <f>Tabla1[[#This Row],[cantidad]]*Tabla1[[#This Row],[precio_unitario]]</f>
        <v>4107918</v>
      </c>
      <c r="L419" s="1">
        <f>Tabla1[[#This Row],[cantidad]]*Tabla1[[#This Row],[costo_unitario]]</f>
        <v>3080938</v>
      </c>
      <c r="M419" s="1">
        <f>Tabla1[[#This Row],[venta_total]]-Tabla1[[#This Row],[costo_total]]</f>
        <v>1026980</v>
      </c>
      <c r="N419" s="3">
        <f>Tabla1[[#This Row],[margen]]/Tabla1[[#This Row],[venta_total]]</f>
        <v>0.25000012171615887</v>
      </c>
    </row>
    <row r="420" spans="1:14" x14ac:dyDescent="0.25">
      <c r="A420" s="2">
        <v>45301</v>
      </c>
      <c r="B420" t="s">
        <v>10</v>
      </c>
      <c r="C420" t="s">
        <v>11</v>
      </c>
      <c r="D420" t="s">
        <v>19</v>
      </c>
      <c r="E420" t="s">
        <v>16</v>
      </c>
      <c r="F420" t="s">
        <v>35</v>
      </c>
      <c r="G420">
        <v>1</v>
      </c>
      <c r="H420" s="1">
        <v>913222</v>
      </c>
      <c r="I420" s="1">
        <v>593594</v>
      </c>
      <c r="J420" t="s">
        <v>15</v>
      </c>
      <c r="K420" s="1">
        <f>Tabla1[[#This Row],[cantidad]]*Tabla1[[#This Row],[precio_unitario]]</f>
        <v>913222</v>
      </c>
      <c r="L420" s="1">
        <f>Tabla1[[#This Row],[cantidad]]*Tabla1[[#This Row],[costo_unitario]]</f>
        <v>593594</v>
      </c>
      <c r="M420" s="1">
        <f>Tabla1[[#This Row],[venta_total]]-Tabla1[[#This Row],[costo_total]]</f>
        <v>319628</v>
      </c>
      <c r="N420" s="3">
        <f>Tabla1[[#This Row],[margen]]/Tabla1[[#This Row],[venta_total]]</f>
        <v>0.35000032850719759</v>
      </c>
    </row>
    <row r="421" spans="1:14" x14ac:dyDescent="0.25">
      <c r="A421" s="2">
        <v>45317</v>
      </c>
      <c r="B421" t="s">
        <v>18</v>
      </c>
      <c r="C421" t="s">
        <v>11</v>
      </c>
      <c r="D421" t="s">
        <v>26</v>
      </c>
      <c r="E421" t="s">
        <v>13</v>
      </c>
      <c r="F421" t="s">
        <v>27</v>
      </c>
      <c r="G421">
        <v>1</v>
      </c>
      <c r="H421" s="1">
        <v>6233964</v>
      </c>
      <c r="I421" s="1">
        <v>4987171</v>
      </c>
      <c r="J421" t="s">
        <v>29</v>
      </c>
      <c r="K421" s="1">
        <f>Tabla1[[#This Row],[cantidad]]*Tabla1[[#This Row],[precio_unitario]]</f>
        <v>6233964</v>
      </c>
      <c r="L421" s="1">
        <f>Tabla1[[#This Row],[cantidad]]*Tabla1[[#This Row],[costo_unitario]]</f>
        <v>4987171</v>
      </c>
      <c r="M421" s="1">
        <f>Tabla1[[#This Row],[venta_total]]-Tabla1[[#This Row],[costo_total]]</f>
        <v>1246793</v>
      </c>
      <c r="N421" s="3">
        <f>Tabla1[[#This Row],[margen]]/Tabla1[[#This Row],[venta_total]]</f>
        <v>0.20000003208231551</v>
      </c>
    </row>
    <row r="422" spans="1:14" x14ac:dyDescent="0.25">
      <c r="A422" s="2">
        <v>45338</v>
      </c>
      <c r="B422" t="s">
        <v>18</v>
      </c>
      <c r="C422" t="s">
        <v>11</v>
      </c>
      <c r="D422" t="s">
        <v>23</v>
      </c>
      <c r="E422" t="s">
        <v>16</v>
      </c>
      <c r="F422" t="s">
        <v>24</v>
      </c>
      <c r="G422">
        <v>1</v>
      </c>
      <c r="H422" s="1">
        <v>1515839</v>
      </c>
      <c r="I422" s="1">
        <v>1136879</v>
      </c>
      <c r="J422" t="s">
        <v>29</v>
      </c>
      <c r="K422" s="1">
        <f>Tabla1[[#This Row],[cantidad]]*Tabla1[[#This Row],[precio_unitario]]</f>
        <v>1515839</v>
      </c>
      <c r="L422" s="1">
        <f>Tabla1[[#This Row],[cantidad]]*Tabla1[[#This Row],[costo_unitario]]</f>
        <v>1136879</v>
      </c>
      <c r="M422" s="1">
        <f>Tabla1[[#This Row],[venta_total]]-Tabla1[[#This Row],[costo_total]]</f>
        <v>378960</v>
      </c>
      <c r="N422" s="3">
        <f>Tabla1[[#This Row],[margen]]/Tabla1[[#This Row],[venta_total]]</f>
        <v>0.25000016492516686</v>
      </c>
    </row>
    <row r="423" spans="1:14" x14ac:dyDescent="0.25">
      <c r="A423" s="2">
        <v>45342</v>
      </c>
      <c r="B423" t="s">
        <v>32</v>
      </c>
      <c r="C423" t="s">
        <v>11</v>
      </c>
      <c r="D423" t="s">
        <v>12</v>
      </c>
      <c r="E423" t="s">
        <v>13</v>
      </c>
      <c r="F423" t="s">
        <v>14</v>
      </c>
      <c r="G423">
        <v>1</v>
      </c>
      <c r="H423" s="1">
        <v>4122504</v>
      </c>
      <c r="I423" s="1">
        <v>3298003</v>
      </c>
      <c r="J423" t="s">
        <v>31</v>
      </c>
      <c r="K423" s="1">
        <f>Tabla1[[#This Row],[cantidad]]*Tabla1[[#This Row],[precio_unitario]]</f>
        <v>4122504</v>
      </c>
      <c r="L423" s="1">
        <f>Tabla1[[#This Row],[cantidad]]*Tabla1[[#This Row],[costo_unitario]]</f>
        <v>3298003</v>
      </c>
      <c r="M423" s="1">
        <f>Tabla1[[#This Row],[venta_total]]-Tabla1[[#This Row],[costo_total]]</f>
        <v>824501</v>
      </c>
      <c r="N423" s="3">
        <f>Tabla1[[#This Row],[margen]]/Tabla1[[#This Row],[venta_total]]</f>
        <v>0.200000048514204</v>
      </c>
    </row>
    <row r="424" spans="1:14" x14ac:dyDescent="0.25">
      <c r="A424" s="2">
        <v>45411</v>
      </c>
      <c r="B424" t="s">
        <v>10</v>
      </c>
      <c r="C424" t="s">
        <v>11</v>
      </c>
      <c r="D424" t="s">
        <v>12</v>
      </c>
      <c r="E424" t="s">
        <v>20</v>
      </c>
      <c r="F424" t="s">
        <v>37</v>
      </c>
      <c r="G424">
        <v>1</v>
      </c>
      <c r="H424" s="1">
        <v>2619230</v>
      </c>
      <c r="I424" s="1">
        <v>1964422</v>
      </c>
      <c r="J424" t="s">
        <v>22</v>
      </c>
      <c r="K424" s="1">
        <f>Tabla1[[#This Row],[cantidad]]*Tabla1[[#This Row],[precio_unitario]]</f>
        <v>2619230</v>
      </c>
      <c r="L424" s="1">
        <f>Tabla1[[#This Row],[cantidad]]*Tabla1[[#This Row],[costo_unitario]]</f>
        <v>1964422</v>
      </c>
      <c r="M424" s="1">
        <f>Tabla1[[#This Row],[venta_total]]-Tabla1[[#This Row],[costo_total]]</f>
        <v>654808</v>
      </c>
      <c r="N424" s="3">
        <f>Tabla1[[#This Row],[margen]]/Tabla1[[#This Row],[venta_total]]</f>
        <v>0.25000019089579761</v>
      </c>
    </row>
    <row r="425" spans="1:14" x14ac:dyDescent="0.25">
      <c r="A425" s="2">
        <v>45375</v>
      </c>
      <c r="B425" t="s">
        <v>32</v>
      </c>
      <c r="C425" t="s">
        <v>11</v>
      </c>
      <c r="D425" t="s">
        <v>26</v>
      </c>
      <c r="E425" t="s">
        <v>13</v>
      </c>
      <c r="F425" t="s">
        <v>27</v>
      </c>
      <c r="G425">
        <v>1</v>
      </c>
      <c r="H425" s="1">
        <v>6681811</v>
      </c>
      <c r="I425" s="1">
        <v>5345448</v>
      </c>
      <c r="J425" t="s">
        <v>25</v>
      </c>
      <c r="K425" s="1">
        <f>Tabla1[[#This Row],[cantidad]]*Tabla1[[#This Row],[precio_unitario]]</f>
        <v>6681811</v>
      </c>
      <c r="L425" s="1">
        <f>Tabla1[[#This Row],[cantidad]]*Tabla1[[#This Row],[costo_unitario]]</f>
        <v>5345448</v>
      </c>
      <c r="M425" s="1">
        <f>Tabla1[[#This Row],[venta_total]]-Tabla1[[#This Row],[costo_total]]</f>
        <v>1336363</v>
      </c>
      <c r="N425" s="3">
        <f>Tabla1[[#This Row],[margen]]/Tabla1[[#This Row],[venta_total]]</f>
        <v>0.20000011972801984</v>
      </c>
    </row>
    <row r="426" spans="1:14" x14ac:dyDescent="0.25">
      <c r="A426" s="2">
        <v>45324</v>
      </c>
      <c r="B426" t="s">
        <v>10</v>
      </c>
      <c r="C426" t="s">
        <v>11</v>
      </c>
      <c r="D426" t="s">
        <v>23</v>
      </c>
      <c r="E426" t="s">
        <v>16</v>
      </c>
      <c r="F426" t="s">
        <v>24</v>
      </c>
      <c r="G426">
        <v>1</v>
      </c>
      <c r="H426" s="1">
        <v>1829452</v>
      </c>
      <c r="I426" s="1">
        <v>1372089</v>
      </c>
      <c r="J426" t="s">
        <v>31</v>
      </c>
      <c r="K426" s="1">
        <f>Tabla1[[#This Row],[cantidad]]*Tabla1[[#This Row],[precio_unitario]]</f>
        <v>1829452</v>
      </c>
      <c r="L426" s="1">
        <f>Tabla1[[#This Row],[cantidad]]*Tabla1[[#This Row],[costo_unitario]]</f>
        <v>1372089</v>
      </c>
      <c r="M426" s="1">
        <f>Tabla1[[#This Row],[venta_total]]-Tabla1[[#This Row],[costo_total]]</f>
        <v>457363</v>
      </c>
      <c r="N426" s="3">
        <f>Tabla1[[#This Row],[margen]]/Tabla1[[#This Row],[venta_total]]</f>
        <v>0.25</v>
      </c>
    </row>
    <row r="427" spans="1:14" x14ac:dyDescent="0.25">
      <c r="A427" s="2">
        <v>45426</v>
      </c>
      <c r="B427" t="s">
        <v>32</v>
      </c>
      <c r="C427" t="s">
        <v>11</v>
      </c>
      <c r="D427" t="s">
        <v>26</v>
      </c>
      <c r="E427" t="s">
        <v>20</v>
      </c>
      <c r="F427" t="s">
        <v>36</v>
      </c>
      <c r="G427">
        <v>1</v>
      </c>
      <c r="H427" s="1">
        <v>3050890</v>
      </c>
      <c r="I427" s="1">
        <v>2288167</v>
      </c>
      <c r="J427" t="s">
        <v>29</v>
      </c>
      <c r="K427" s="1">
        <f>Tabla1[[#This Row],[cantidad]]*Tabla1[[#This Row],[precio_unitario]]</f>
        <v>3050890</v>
      </c>
      <c r="L427" s="1">
        <f>Tabla1[[#This Row],[cantidad]]*Tabla1[[#This Row],[costo_unitario]]</f>
        <v>2288167</v>
      </c>
      <c r="M427" s="1">
        <f>Tabla1[[#This Row],[venta_total]]-Tabla1[[#This Row],[costo_total]]</f>
        <v>762723</v>
      </c>
      <c r="N427" s="3">
        <f>Tabla1[[#This Row],[margen]]/Tabla1[[#This Row],[venta_total]]</f>
        <v>0.25000016388660357</v>
      </c>
    </row>
    <row r="428" spans="1:14" x14ac:dyDescent="0.25">
      <c r="A428" s="2">
        <v>45307</v>
      </c>
      <c r="B428" t="s">
        <v>18</v>
      </c>
      <c r="C428" t="s">
        <v>11</v>
      </c>
      <c r="D428" t="s">
        <v>12</v>
      </c>
      <c r="E428" t="s">
        <v>13</v>
      </c>
      <c r="F428" t="s">
        <v>14</v>
      </c>
      <c r="G428">
        <v>1</v>
      </c>
      <c r="H428" s="1">
        <v>4811858</v>
      </c>
      <c r="I428" s="1">
        <v>3849486</v>
      </c>
      <c r="J428" t="s">
        <v>25</v>
      </c>
      <c r="K428" s="1">
        <f>Tabla1[[#This Row],[cantidad]]*Tabla1[[#This Row],[precio_unitario]]</f>
        <v>4811858</v>
      </c>
      <c r="L428" s="1">
        <f>Tabla1[[#This Row],[cantidad]]*Tabla1[[#This Row],[costo_unitario]]</f>
        <v>3849486</v>
      </c>
      <c r="M428" s="1">
        <f>Tabla1[[#This Row],[venta_total]]-Tabla1[[#This Row],[costo_total]]</f>
        <v>962372</v>
      </c>
      <c r="N428" s="3">
        <f>Tabla1[[#This Row],[margen]]/Tabla1[[#This Row],[venta_total]]</f>
        <v>0.2000000831279726</v>
      </c>
    </row>
    <row r="429" spans="1:14" x14ac:dyDescent="0.25">
      <c r="A429" s="2">
        <v>45369</v>
      </c>
      <c r="B429" t="s">
        <v>34</v>
      </c>
      <c r="C429" t="s">
        <v>11</v>
      </c>
      <c r="D429" t="s">
        <v>19</v>
      </c>
      <c r="E429" t="s">
        <v>16</v>
      </c>
      <c r="F429" t="s">
        <v>35</v>
      </c>
      <c r="G429">
        <v>3</v>
      </c>
      <c r="H429" s="1">
        <v>886406</v>
      </c>
      <c r="I429" s="1">
        <v>576163</v>
      </c>
      <c r="J429" t="s">
        <v>29</v>
      </c>
      <c r="K429" s="1">
        <f>Tabla1[[#This Row],[cantidad]]*Tabla1[[#This Row],[precio_unitario]]</f>
        <v>2659218</v>
      </c>
      <c r="L429" s="1">
        <f>Tabla1[[#This Row],[cantidad]]*Tabla1[[#This Row],[costo_unitario]]</f>
        <v>1728489</v>
      </c>
      <c r="M429" s="1">
        <f>Tabla1[[#This Row],[venta_total]]-Tabla1[[#This Row],[costo_total]]</f>
        <v>930729</v>
      </c>
      <c r="N429" s="3">
        <f>Tabla1[[#This Row],[margen]]/Tabla1[[#This Row],[venta_total]]</f>
        <v>0.35000101533608752</v>
      </c>
    </row>
    <row r="430" spans="1:14" x14ac:dyDescent="0.25">
      <c r="A430" s="2">
        <v>45297</v>
      </c>
      <c r="B430" t="s">
        <v>18</v>
      </c>
      <c r="C430" t="s">
        <v>11</v>
      </c>
      <c r="D430" t="s">
        <v>19</v>
      </c>
      <c r="E430" t="s">
        <v>16</v>
      </c>
      <c r="F430" t="s">
        <v>35</v>
      </c>
      <c r="G430">
        <v>3</v>
      </c>
      <c r="H430" s="1">
        <v>729130</v>
      </c>
      <c r="I430" s="1">
        <v>473934</v>
      </c>
      <c r="J430" t="s">
        <v>15</v>
      </c>
      <c r="K430" s="1">
        <f>Tabla1[[#This Row],[cantidad]]*Tabla1[[#This Row],[precio_unitario]]</f>
        <v>2187390</v>
      </c>
      <c r="L430" s="1">
        <f>Tabla1[[#This Row],[cantidad]]*Tabla1[[#This Row],[costo_unitario]]</f>
        <v>1421802</v>
      </c>
      <c r="M430" s="1">
        <f>Tabla1[[#This Row],[venta_total]]-Tabla1[[#This Row],[costo_total]]</f>
        <v>765588</v>
      </c>
      <c r="N430" s="3">
        <f>Tabla1[[#This Row],[margen]]/Tabla1[[#This Row],[venta_total]]</f>
        <v>0.35000068574876908</v>
      </c>
    </row>
    <row r="431" spans="1:14" x14ac:dyDescent="0.25">
      <c r="A431" s="2">
        <v>45296</v>
      </c>
      <c r="B431" t="s">
        <v>34</v>
      </c>
      <c r="C431" t="s">
        <v>11</v>
      </c>
      <c r="D431" t="s">
        <v>19</v>
      </c>
      <c r="E431" t="s">
        <v>20</v>
      </c>
      <c r="F431" t="s">
        <v>21</v>
      </c>
      <c r="G431">
        <v>3</v>
      </c>
      <c r="H431" s="1">
        <v>282673</v>
      </c>
      <c r="I431" s="1">
        <v>169603</v>
      </c>
      <c r="J431" t="s">
        <v>22</v>
      </c>
      <c r="K431" s="1">
        <f>Tabla1[[#This Row],[cantidad]]*Tabla1[[#This Row],[precio_unitario]]</f>
        <v>848019</v>
      </c>
      <c r="L431" s="1">
        <f>Tabla1[[#This Row],[cantidad]]*Tabla1[[#This Row],[costo_unitario]]</f>
        <v>508809</v>
      </c>
      <c r="M431" s="1">
        <f>Tabla1[[#This Row],[venta_total]]-Tabla1[[#This Row],[costo_total]]</f>
        <v>339210</v>
      </c>
      <c r="N431" s="3">
        <f>Tabla1[[#This Row],[margen]]/Tabla1[[#This Row],[venta_total]]</f>
        <v>0.40000283012526844</v>
      </c>
    </row>
    <row r="432" spans="1:14" x14ac:dyDescent="0.25">
      <c r="A432" s="2">
        <v>45417</v>
      </c>
      <c r="B432" t="s">
        <v>10</v>
      </c>
      <c r="C432" t="s">
        <v>11</v>
      </c>
      <c r="D432" t="s">
        <v>12</v>
      </c>
      <c r="E432" t="s">
        <v>13</v>
      </c>
      <c r="F432" t="s">
        <v>14</v>
      </c>
      <c r="G432">
        <v>1</v>
      </c>
      <c r="H432" s="1">
        <v>5356509</v>
      </c>
      <c r="I432" s="1">
        <v>4285207</v>
      </c>
      <c r="J432" t="s">
        <v>29</v>
      </c>
      <c r="K432" s="1">
        <f>Tabla1[[#This Row],[cantidad]]*Tabla1[[#This Row],[precio_unitario]]</f>
        <v>5356509</v>
      </c>
      <c r="L432" s="1">
        <f>Tabla1[[#This Row],[cantidad]]*Tabla1[[#This Row],[costo_unitario]]</f>
        <v>4285207</v>
      </c>
      <c r="M432" s="1">
        <f>Tabla1[[#This Row],[venta_total]]-Tabla1[[#This Row],[costo_total]]</f>
        <v>1071302</v>
      </c>
      <c r="N432" s="3">
        <f>Tabla1[[#This Row],[margen]]/Tabla1[[#This Row],[venta_total]]</f>
        <v>0.20000003733775112</v>
      </c>
    </row>
    <row r="433" spans="1:14" x14ac:dyDescent="0.25">
      <c r="A433" s="2">
        <v>45297</v>
      </c>
      <c r="B433" t="s">
        <v>18</v>
      </c>
      <c r="C433" t="s">
        <v>11</v>
      </c>
      <c r="D433" t="s">
        <v>26</v>
      </c>
      <c r="E433" t="s">
        <v>20</v>
      </c>
      <c r="F433" t="s">
        <v>36</v>
      </c>
      <c r="G433">
        <v>1</v>
      </c>
      <c r="H433" s="1">
        <v>2727385</v>
      </c>
      <c r="I433" s="1">
        <v>2045538</v>
      </c>
      <c r="J433" t="s">
        <v>22</v>
      </c>
      <c r="K433" s="1">
        <f>Tabla1[[#This Row],[cantidad]]*Tabla1[[#This Row],[precio_unitario]]</f>
        <v>2727385</v>
      </c>
      <c r="L433" s="1">
        <f>Tabla1[[#This Row],[cantidad]]*Tabla1[[#This Row],[costo_unitario]]</f>
        <v>2045538</v>
      </c>
      <c r="M433" s="1">
        <f>Tabla1[[#This Row],[venta_total]]-Tabla1[[#This Row],[costo_total]]</f>
        <v>681847</v>
      </c>
      <c r="N433" s="3">
        <f>Tabla1[[#This Row],[margen]]/Tabla1[[#This Row],[venta_total]]</f>
        <v>0.2500002749886796</v>
      </c>
    </row>
    <row r="434" spans="1:14" x14ac:dyDescent="0.25">
      <c r="A434" s="2">
        <v>45397</v>
      </c>
      <c r="B434" t="s">
        <v>10</v>
      </c>
      <c r="C434" t="s">
        <v>11</v>
      </c>
      <c r="D434" t="s">
        <v>12</v>
      </c>
      <c r="E434" t="s">
        <v>13</v>
      </c>
      <c r="F434" t="s">
        <v>14</v>
      </c>
      <c r="G434">
        <v>1</v>
      </c>
      <c r="H434" s="1">
        <v>5006123</v>
      </c>
      <c r="I434" s="1">
        <v>4004898</v>
      </c>
      <c r="J434" t="s">
        <v>15</v>
      </c>
      <c r="K434" s="1">
        <f>Tabla1[[#This Row],[cantidad]]*Tabla1[[#This Row],[precio_unitario]]</f>
        <v>5006123</v>
      </c>
      <c r="L434" s="1">
        <f>Tabla1[[#This Row],[cantidad]]*Tabla1[[#This Row],[costo_unitario]]</f>
        <v>4004898</v>
      </c>
      <c r="M434" s="1">
        <f>Tabla1[[#This Row],[venta_total]]-Tabla1[[#This Row],[costo_total]]</f>
        <v>1001225</v>
      </c>
      <c r="N434" s="3">
        <f>Tabla1[[#This Row],[margen]]/Tabla1[[#This Row],[venta_total]]</f>
        <v>0.20000007990215182</v>
      </c>
    </row>
    <row r="435" spans="1:14" x14ac:dyDescent="0.25">
      <c r="A435" s="2">
        <v>45338</v>
      </c>
      <c r="B435" t="s">
        <v>18</v>
      </c>
      <c r="C435" t="s">
        <v>11</v>
      </c>
      <c r="D435" t="s">
        <v>23</v>
      </c>
      <c r="E435" t="s">
        <v>13</v>
      </c>
      <c r="F435" t="s">
        <v>28</v>
      </c>
      <c r="G435">
        <v>1</v>
      </c>
      <c r="H435" s="1">
        <v>3384682</v>
      </c>
      <c r="I435" s="1">
        <v>2707745</v>
      </c>
      <c r="J435" t="s">
        <v>31</v>
      </c>
      <c r="K435" s="1">
        <f>Tabla1[[#This Row],[cantidad]]*Tabla1[[#This Row],[precio_unitario]]</f>
        <v>3384682</v>
      </c>
      <c r="L435" s="1">
        <f>Tabla1[[#This Row],[cantidad]]*Tabla1[[#This Row],[costo_unitario]]</f>
        <v>2707745</v>
      </c>
      <c r="M435" s="1">
        <f>Tabla1[[#This Row],[venta_total]]-Tabla1[[#This Row],[costo_total]]</f>
        <v>676937</v>
      </c>
      <c r="N435" s="3">
        <f>Tabla1[[#This Row],[margen]]/Tabla1[[#This Row],[venta_total]]</f>
        <v>0.2000001772692383</v>
      </c>
    </row>
    <row r="436" spans="1:14" x14ac:dyDescent="0.25">
      <c r="A436" s="2">
        <v>45323</v>
      </c>
      <c r="B436" t="s">
        <v>32</v>
      </c>
      <c r="C436" t="s">
        <v>11</v>
      </c>
      <c r="D436" t="s">
        <v>23</v>
      </c>
      <c r="E436" t="s">
        <v>20</v>
      </c>
      <c r="F436" t="s">
        <v>30</v>
      </c>
      <c r="G436">
        <v>1</v>
      </c>
      <c r="H436" s="1">
        <v>969653</v>
      </c>
      <c r="I436" s="1">
        <v>678757</v>
      </c>
      <c r="J436" t="s">
        <v>22</v>
      </c>
      <c r="K436" s="1">
        <f>Tabla1[[#This Row],[cantidad]]*Tabla1[[#This Row],[precio_unitario]]</f>
        <v>969653</v>
      </c>
      <c r="L436" s="1">
        <f>Tabla1[[#This Row],[cantidad]]*Tabla1[[#This Row],[costo_unitario]]</f>
        <v>678757</v>
      </c>
      <c r="M436" s="1">
        <f>Tabla1[[#This Row],[venta_total]]-Tabla1[[#This Row],[costo_total]]</f>
        <v>290896</v>
      </c>
      <c r="N436" s="3">
        <f>Tabla1[[#This Row],[margen]]/Tabla1[[#This Row],[venta_total]]</f>
        <v>0.30000010312967629</v>
      </c>
    </row>
    <row r="437" spans="1:14" x14ac:dyDescent="0.25">
      <c r="A437" s="2">
        <v>45464</v>
      </c>
      <c r="B437" t="s">
        <v>32</v>
      </c>
      <c r="C437" t="s">
        <v>11</v>
      </c>
      <c r="D437" t="s">
        <v>12</v>
      </c>
      <c r="E437" t="s">
        <v>20</v>
      </c>
      <c r="F437" t="s">
        <v>37</v>
      </c>
      <c r="G437">
        <v>1</v>
      </c>
      <c r="H437" s="1">
        <v>1890814</v>
      </c>
      <c r="I437" s="1">
        <v>1418110</v>
      </c>
      <c r="J437" t="s">
        <v>29</v>
      </c>
      <c r="K437" s="1">
        <f>Tabla1[[#This Row],[cantidad]]*Tabla1[[#This Row],[precio_unitario]]</f>
        <v>1890814</v>
      </c>
      <c r="L437" s="1">
        <f>Tabla1[[#This Row],[cantidad]]*Tabla1[[#This Row],[costo_unitario]]</f>
        <v>1418110</v>
      </c>
      <c r="M437" s="1">
        <f>Tabla1[[#This Row],[venta_total]]-Tabla1[[#This Row],[costo_total]]</f>
        <v>472704</v>
      </c>
      <c r="N437" s="3">
        <f>Tabla1[[#This Row],[margen]]/Tabla1[[#This Row],[venta_total]]</f>
        <v>0.25000026443637502</v>
      </c>
    </row>
    <row r="438" spans="1:14" x14ac:dyDescent="0.25">
      <c r="A438" s="2">
        <v>45444</v>
      </c>
      <c r="B438" t="s">
        <v>10</v>
      </c>
      <c r="C438" t="s">
        <v>11</v>
      </c>
      <c r="D438" t="s">
        <v>38</v>
      </c>
      <c r="E438" t="s">
        <v>20</v>
      </c>
      <c r="F438" t="s">
        <v>42</v>
      </c>
      <c r="G438">
        <v>1</v>
      </c>
      <c r="H438" s="1">
        <v>2920527</v>
      </c>
      <c r="I438" s="1">
        <v>2102779</v>
      </c>
      <c r="J438" t="s">
        <v>29</v>
      </c>
      <c r="K438" s="1">
        <f>Tabla1[[#This Row],[cantidad]]*Tabla1[[#This Row],[precio_unitario]]</f>
        <v>2920527</v>
      </c>
      <c r="L438" s="1">
        <f>Tabla1[[#This Row],[cantidad]]*Tabla1[[#This Row],[costo_unitario]]</f>
        <v>2102779</v>
      </c>
      <c r="M438" s="1">
        <f>Tabla1[[#This Row],[venta_total]]-Tabla1[[#This Row],[costo_total]]</f>
        <v>817748</v>
      </c>
      <c r="N438" s="3">
        <f>Tabla1[[#This Row],[margen]]/Tabla1[[#This Row],[venta_total]]</f>
        <v>0.28000015065774086</v>
      </c>
    </row>
    <row r="439" spans="1:14" x14ac:dyDescent="0.25">
      <c r="A439" s="2">
        <v>45305</v>
      </c>
      <c r="B439" t="s">
        <v>10</v>
      </c>
      <c r="C439" t="s">
        <v>11</v>
      </c>
      <c r="D439" t="s">
        <v>12</v>
      </c>
      <c r="E439" t="s">
        <v>16</v>
      </c>
      <c r="F439" t="s">
        <v>17</v>
      </c>
      <c r="G439">
        <v>1</v>
      </c>
      <c r="H439" s="1">
        <v>2846338</v>
      </c>
      <c r="I439" s="1">
        <v>2220143</v>
      </c>
      <c r="J439" t="s">
        <v>31</v>
      </c>
      <c r="K439" s="1">
        <f>Tabla1[[#This Row],[cantidad]]*Tabla1[[#This Row],[precio_unitario]]</f>
        <v>2846338</v>
      </c>
      <c r="L439" s="1">
        <f>Tabla1[[#This Row],[cantidad]]*Tabla1[[#This Row],[costo_unitario]]</f>
        <v>2220143</v>
      </c>
      <c r="M439" s="1">
        <f>Tabla1[[#This Row],[venta_total]]-Tabla1[[#This Row],[costo_total]]</f>
        <v>626195</v>
      </c>
      <c r="N439" s="3">
        <f>Tabla1[[#This Row],[margen]]/Tabla1[[#This Row],[venta_total]]</f>
        <v>0.22000022485031645</v>
      </c>
    </row>
    <row r="440" spans="1:14" x14ac:dyDescent="0.25">
      <c r="A440" s="2">
        <v>45320</v>
      </c>
      <c r="B440" t="s">
        <v>34</v>
      </c>
      <c r="C440" t="s">
        <v>11</v>
      </c>
      <c r="D440" t="s">
        <v>19</v>
      </c>
      <c r="E440" t="s">
        <v>20</v>
      </c>
      <c r="F440" t="s">
        <v>21</v>
      </c>
      <c r="G440">
        <v>2</v>
      </c>
      <c r="H440" s="1">
        <v>428963</v>
      </c>
      <c r="I440" s="1">
        <v>257377</v>
      </c>
      <c r="J440" t="s">
        <v>25</v>
      </c>
      <c r="K440" s="1">
        <f>Tabla1[[#This Row],[cantidad]]*Tabla1[[#This Row],[precio_unitario]]</f>
        <v>857926</v>
      </c>
      <c r="L440" s="1">
        <f>Tabla1[[#This Row],[cantidad]]*Tabla1[[#This Row],[costo_unitario]]</f>
        <v>514754</v>
      </c>
      <c r="M440" s="1">
        <f>Tabla1[[#This Row],[venta_total]]-Tabla1[[#This Row],[costo_total]]</f>
        <v>343172</v>
      </c>
      <c r="N440" s="3">
        <f>Tabla1[[#This Row],[margen]]/Tabla1[[#This Row],[venta_total]]</f>
        <v>0.40000186496271239</v>
      </c>
    </row>
    <row r="441" spans="1:14" x14ac:dyDescent="0.25">
      <c r="A441" s="2">
        <v>45446</v>
      </c>
      <c r="B441" t="s">
        <v>34</v>
      </c>
      <c r="C441" t="s">
        <v>11</v>
      </c>
      <c r="D441" t="s">
        <v>12</v>
      </c>
      <c r="E441" t="s">
        <v>20</v>
      </c>
      <c r="F441" t="s">
        <v>37</v>
      </c>
      <c r="G441">
        <v>1</v>
      </c>
      <c r="H441" s="1">
        <v>2737713</v>
      </c>
      <c r="I441" s="1">
        <v>2053284</v>
      </c>
      <c r="J441" t="s">
        <v>29</v>
      </c>
      <c r="K441" s="1">
        <f>Tabla1[[#This Row],[cantidad]]*Tabla1[[#This Row],[precio_unitario]]</f>
        <v>2737713</v>
      </c>
      <c r="L441" s="1">
        <f>Tabla1[[#This Row],[cantidad]]*Tabla1[[#This Row],[costo_unitario]]</f>
        <v>2053284</v>
      </c>
      <c r="M441" s="1">
        <f>Tabla1[[#This Row],[venta_total]]-Tabla1[[#This Row],[costo_total]]</f>
        <v>684429</v>
      </c>
      <c r="N441" s="3">
        <f>Tabla1[[#This Row],[margen]]/Tabla1[[#This Row],[venta_total]]</f>
        <v>0.2500002739512871</v>
      </c>
    </row>
    <row r="442" spans="1:14" x14ac:dyDescent="0.25">
      <c r="A442" s="2">
        <v>45416</v>
      </c>
      <c r="B442" t="s">
        <v>34</v>
      </c>
      <c r="C442" t="s">
        <v>11</v>
      </c>
      <c r="D442" t="s">
        <v>26</v>
      </c>
      <c r="E442" t="s">
        <v>16</v>
      </c>
      <c r="F442" t="s">
        <v>40</v>
      </c>
      <c r="G442">
        <v>1</v>
      </c>
      <c r="H442" s="1">
        <v>4429771</v>
      </c>
      <c r="I442" s="1">
        <v>3455221</v>
      </c>
      <c r="J442" t="s">
        <v>31</v>
      </c>
      <c r="K442" s="1">
        <f>Tabla1[[#This Row],[cantidad]]*Tabla1[[#This Row],[precio_unitario]]</f>
        <v>4429771</v>
      </c>
      <c r="L442" s="1">
        <f>Tabla1[[#This Row],[cantidad]]*Tabla1[[#This Row],[costo_unitario]]</f>
        <v>3455221</v>
      </c>
      <c r="M442" s="1">
        <f>Tabla1[[#This Row],[venta_total]]-Tabla1[[#This Row],[costo_total]]</f>
        <v>974550</v>
      </c>
      <c r="N442" s="3">
        <f>Tabla1[[#This Row],[margen]]/Tabla1[[#This Row],[venta_total]]</f>
        <v>0.22000008578321542</v>
      </c>
    </row>
    <row r="443" spans="1:14" x14ac:dyDescent="0.25">
      <c r="A443" s="2">
        <v>45414</v>
      </c>
      <c r="B443" t="s">
        <v>18</v>
      </c>
      <c r="C443" t="s">
        <v>11</v>
      </c>
      <c r="D443" t="s">
        <v>38</v>
      </c>
      <c r="E443" t="s">
        <v>16</v>
      </c>
      <c r="F443" t="s">
        <v>39</v>
      </c>
      <c r="G443">
        <v>1</v>
      </c>
      <c r="H443" s="1">
        <v>4030700</v>
      </c>
      <c r="I443" s="1">
        <v>3023025</v>
      </c>
      <c r="J443" t="s">
        <v>25</v>
      </c>
      <c r="K443" s="1">
        <f>Tabla1[[#This Row],[cantidad]]*Tabla1[[#This Row],[precio_unitario]]</f>
        <v>4030700</v>
      </c>
      <c r="L443" s="1">
        <f>Tabla1[[#This Row],[cantidad]]*Tabla1[[#This Row],[costo_unitario]]</f>
        <v>3023025</v>
      </c>
      <c r="M443" s="1">
        <f>Tabla1[[#This Row],[venta_total]]-Tabla1[[#This Row],[costo_total]]</f>
        <v>1007675</v>
      </c>
      <c r="N443" s="3">
        <f>Tabla1[[#This Row],[margen]]/Tabla1[[#This Row],[venta_total]]</f>
        <v>0.25</v>
      </c>
    </row>
    <row r="444" spans="1:14" x14ac:dyDescent="0.25">
      <c r="A444" s="2">
        <v>45464</v>
      </c>
      <c r="B444" t="s">
        <v>10</v>
      </c>
      <c r="C444" t="s">
        <v>11</v>
      </c>
      <c r="D444" t="s">
        <v>19</v>
      </c>
      <c r="E444" t="s">
        <v>16</v>
      </c>
      <c r="F444" t="s">
        <v>35</v>
      </c>
      <c r="G444">
        <v>2</v>
      </c>
      <c r="H444" s="1">
        <v>744072</v>
      </c>
      <c r="I444" s="1">
        <v>483646</v>
      </c>
      <c r="J444" t="s">
        <v>15</v>
      </c>
      <c r="K444" s="1">
        <f>Tabla1[[#This Row],[cantidad]]*Tabla1[[#This Row],[precio_unitario]]</f>
        <v>1488144</v>
      </c>
      <c r="L444" s="1">
        <f>Tabla1[[#This Row],[cantidad]]*Tabla1[[#This Row],[costo_unitario]]</f>
        <v>967292</v>
      </c>
      <c r="M444" s="1">
        <f>Tabla1[[#This Row],[venta_total]]-Tabla1[[#This Row],[costo_total]]</f>
        <v>520852</v>
      </c>
      <c r="N444" s="3">
        <f>Tabla1[[#This Row],[margen]]/Tabla1[[#This Row],[venta_total]]</f>
        <v>0.35000107516476903</v>
      </c>
    </row>
    <row r="445" spans="1:14" x14ac:dyDescent="0.25">
      <c r="A445" s="2">
        <v>45366</v>
      </c>
      <c r="B445" t="s">
        <v>32</v>
      </c>
      <c r="C445" t="s">
        <v>11</v>
      </c>
      <c r="D445" t="s">
        <v>38</v>
      </c>
      <c r="E445" t="s">
        <v>13</v>
      </c>
      <c r="F445" t="s">
        <v>41</v>
      </c>
      <c r="G445">
        <v>1</v>
      </c>
      <c r="H445" s="1">
        <v>6449076</v>
      </c>
      <c r="I445" s="1">
        <v>5159260</v>
      </c>
      <c r="J445" t="s">
        <v>15</v>
      </c>
      <c r="K445" s="1">
        <f>Tabla1[[#This Row],[cantidad]]*Tabla1[[#This Row],[precio_unitario]]</f>
        <v>6449076</v>
      </c>
      <c r="L445" s="1">
        <f>Tabla1[[#This Row],[cantidad]]*Tabla1[[#This Row],[costo_unitario]]</f>
        <v>5159260</v>
      </c>
      <c r="M445" s="1">
        <f>Tabla1[[#This Row],[venta_total]]-Tabla1[[#This Row],[costo_total]]</f>
        <v>1289816</v>
      </c>
      <c r="N445" s="3">
        <f>Tabla1[[#This Row],[margen]]/Tabla1[[#This Row],[venta_total]]</f>
        <v>0.20000012404877845</v>
      </c>
    </row>
    <row r="446" spans="1:14" x14ac:dyDescent="0.25">
      <c r="A446" s="2">
        <v>45449</v>
      </c>
      <c r="B446" t="s">
        <v>18</v>
      </c>
      <c r="C446" t="s">
        <v>11</v>
      </c>
      <c r="D446" t="s">
        <v>23</v>
      </c>
      <c r="E446" t="s">
        <v>13</v>
      </c>
      <c r="F446" t="s">
        <v>28</v>
      </c>
      <c r="G446">
        <v>1</v>
      </c>
      <c r="H446" s="1">
        <v>2888757</v>
      </c>
      <c r="I446" s="1">
        <v>2311005</v>
      </c>
      <c r="J446" t="s">
        <v>31</v>
      </c>
      <c r="K446" s="1">
        <f>Tabla1[[#This Row],[cantidad]]*Tabla1[[#This Row],[precio_unitario]]</f>
        <v>2888757</v>
      </c>
      <c r="L446" s="1">
        <f>Tabla1[[#This Row],[cantidad]]*Tabla1[[#This Row],[costo_unitario]]</f>
        <v>2311005</v>
      </c>
      <c r="M446" s="1">
        <f>Tabla1[[#This Row],[venta_total]]-Tabla1[[#This Row],[costo_total]]</f>
        <v>577752</v>
      </c>
      <c r="N446" s="3">
        <f>Tabla1[[#This Row],[margen]]/Tabla1[[#This Row],[venta_total]]</f>
        <v>0.20000020770179008</v>
      </c>
    </row>
    <row r="447" spans="1:14" x14ac:dyDescent="0.25">
      <c r="A447" s="2">
        <v>45416</v>
      </c>
      <c r="B447" t="s">
        <v>32</v>
      </c>
      <c r="C447" t="s">
        <v>11</v>
      </c>
      <c r="D447" t="s">
        <v>23</v>
      </c>
      <c r="E447" t="s">
        <v>13</v>
      </c>
      <c r="F447" t="s">
        <v>28</v>
      </c>
      <c r="G447">
        <v>1</v>
      </c>
      <c r="H447" s="1">
        <v>2254672</v>
      </c>
      <c r="I447" s="1">
        <v>1803737</v>
      </c>
      <c r="J447" t="s">
        <v>22</v>
      </c>
      <c r="K447" s="1">
        <f>Tabla1[[#This Row],[cantidad]]*Tabla1[[#This Row],[precio_unitario]]</f>
        <v>2254672</v>
      </c>
      <c r="L447" s="1">
        <f>Tabla1[[#This Row],[cantidad]]*Tabla1[[#This Row],[costo_unitario]]</f>
        <v>1803737</v>
      </c>
      <c r="M447" s="1">
        <f>Tabla1[[#This Row],[venta_total]]-Tabla1[[#This Row],[costo_total]]</f>
        <v>450935</v>
      </c>
      <c r="N447" s="3">
        <f>Tabla1[[#This Row],[margen]]/Tabla1[[#This Row],[venta_total]]</f>
        <v>0.20000026611409552</v>
      </c>
    </row>
    <row r="448" spans="1:14" x14ac:dyDescent="0.25">
      <c r="A448" s="2">
        <v>45382</v>
      </c>
      <c r="B448" t="s">
        <v>32</v>
      </c>
      <c r="C448" t="s">
        <v>11</v>
      </c>
      <c r="D448" t="s">
        <v>23</v>
      </c>
      <c r="E448" t="s">
        <v>13</v>
      </c>
      <c r="F448" t="s">
        <v>28</v>
      </c>
      <c r="G448">
        <v>1</v>
      </c>
      <c r="H448" s="1">
        <v>2074807</v>
      </c>
      <c r="I448" s="1">
        <v>1659845</v>
      </c>
      <c r="J448" t="s">
        <v>29</v>
      </c>
      <c r="K448" s="1">
        <f>Tabla1[[#This Row],[cantidad]]*Tabla1[[#This Row],[precio_unitario]]</f>
        <v>2074807</v>
      </c>
      <c r="L448" s="1">
        <f>Tabla1[[#This Row],[cantidad]]*Tabla1[[#This Row],[costo_unitario]]</f>
        <v>1659845</v>
      </c>
      <c r="M448" s="1">
        <f>Tabla1[[#This Row],[venta_total]]-Tabla1[[#This Row],[costo_total]]</f>
        <v>414962</v>
      </c>
      <c r="N448" s="3">
        <f>Tabla1[[#This Row],[margen]]/Tabla1[[#This Row],[venta_total]]</f>
        <v>0.20000028918352405</v>
      </c>
    </row>
    <row r="449" spans="1:14" x14ac:dyDescent="0.25">
      <c r="A449" s="2">
        <v>45415</v>
      </c>
      <c r="B449" t="s">
        <v>10</v>
      </c>
      <c r="C449" t="s">
        <v>11</v>
      </c>
      <c r="D449" t="s">
        <v>12</v>
      </c>
      <c r="E449" t="s">
        <v>13</v>
      </c>
      <c r="F449" t="s">
        <v>14</v>
      </c>
      <c r="G449">
        <v>1</v>
      </c>
      <c r="H449" s="1">
        <v>4327589</v>
      </c>
      <c r="I449" s="1">
        <v>3462071</v>
      </c>
      <c r="J449" t="s">
        <v>29</v>
      </c>
      <c r="K449" s="1">
        <f>Tabla1[[#This Row],[cantidad]]*Tabla1[[#This Row],[precio_unitario]]</f>
        <v>4327589</v>
      </c>
      <c r="L449" s="1">
        <f>Tabla1[[#This Row],[cantidad]]*Tabla1[[#This Row],[costo_unitario]]</f>
        <v>3462071</v>
      </c>
      <c r="M449" s="1">
        <f>Tabla1[[#This Row],[venta_total]]-Tabla1[[#This Row],[costo_total]]</f>
        <v>865518</v>
      </c>
      <c r="N449" s="3">
        <f>Tabla1[[#This Row],[margen]]/Tabla1[[#This Row],[venta_total]]</f>
        <v>0.20000004621510961</v>
      </c>
    </row>
    <row r="450" spans="1:14" x14ac:dyDescent="0.25">
      <c r="A450" s="2">
        <v>45420</v>
      </c>
      <c r="B450" t="s">
        <v>18</v>
      </c>
      <c r="C450" t="s">
        <v>11</v>
      </c>
      <c r="D450" t="s">
        <v>19</v>
      </c>
      <c r="E450" t="s">
        <v>13</v>
      </c>
      <c r="F450" t="s">
        <v>33</v>
      </c>
      <c r="G450">
        <v>3</v>
      </c>
      <c r="H450" s="1">
        <v>1811987</v>
      </c>
      <c r="I450" s="1">
        <v>1268390</v>
      </c>
      <c r="J450" t="s">
        <v>22</v>
      </c>
      <c r="K450" s="1">
        <f>Tabla1[[#This Row],[cantidad]]*Tabla1[[#This Row],[precio_unitario]]</f>
        <v>5435961</v>
      </c>
      <c r="L450" s="1">
        <f>Tabla1[[#This Row],[cantidad]]*Tabla1[[#This Row],[costo_unitario]]</f>
        <v>3805170</v>
      </c>
      <c r="M450" s="1">
        <f>Tabla1[[#This Row],[venta_total]]-Tabla1[[#This Row],[costo_total]]</f>
        <v>1630791</v>
      </c>
      <c r="N450" s="3">
        <f>Tabla1[[#This Row],[margen]]/Tabla1[[#This Row],[venta_total]]</f>
        <v>0.30000049669230516</v>
      </c>
    </row>
    <row r="451" spans="1:14" x14ac:dyDescent="0.25">
      <c r="A451" s="2">
        <v>45444</v>
      </c>
      <c r="B451" t="s">
        <v>34</v>
      </c>
      <c r="C451" t="s">
        <v>11</v>
      </c>
      <c r="D451" t="s">
        <v>12</v>
      </c>
      <c r="E451" t="s">
        <v>20</v>
      </c>
      <c r="F451" t="s">
        <v>37</v>
      </c>
      <c r="G451">
        <v>1</v>
      </c>
      <c r="H451" s="1">
        <v>1962848</v>
      </c>
      <c r="I451" s="1">
        <v>1472136</v>
      </c>
      <c r="J451" t="s">
        <v>29</v>
      </c>
      <c r="K451" s="1">
        <f>Tabla1[[#This Row],[cantidad]]*Tabla1[[#This Row],[precio_unitario]]</f>
        <v>1962848</v>
      </c>
      <c r="L451" s="1">
        <f>Tabla1[[#This Row],[cantidad]]*Tabla1[[#This Row],[costo_unitario]]</f>
        <v>1472136</v>
      </c>
      <c r="M451" s="1">
        <f>Tabla1[[#This Row],[venta_total]]-Tabla1[[#This Row],[costo_total]]</f>
        <v>490712</v>
      </c>
      <c r="N451" s="3">
        <f>Tabla1[[#This Row],[margen]]/Tabla1[[#This Row],[venta_total]]</f>
        <v>0.25</v>
      </c>
    </row>
    <row r="452" spans="1:14" x14ac:dyDescent="0.25">
      <c r="A452" s="2">
        <v>45335</v>
      </c>
      <c r="B452" t="s">
        <v>18</v>
      </c>
      <c r="C452" t="s">
        <v>11</v>
      </c>
      <c r="D452" t="s">
        <v>38</v>
      </c>
      <c r="E452" t="s">
        <v>16</v>
      </c>
      <c r="F452" t="s">
        <v>39</v>
      </c>
      <c r="G452">
        <v>1</v>
      </c>
      <c r="H452" s="1">
        <v>4554777</v>
      </c>
      <c r="I452" s="1">
        <v>3416082</v>
      </c>
      <c r="J452" t="s">
        <v>22</v>
      </c>
      <c r="K452" s="1">
        <f>Tabla1[[#This Row],[cantidad]]*Tabla1[[#This Row],[precio_unitario]]</f>
        <v>4554777</v>
      </c>
      <c r="L452" s="1">
        <f>Tabla1[[#This Row],[cantidad]]*Tabla1[[#This Row],[costo_unitario]]</f>
        <v>3416082</v>
      </c>
      <c r="M452" s="1">
        <f>Tabla1[[#This Row],[venta_total]]-Tabla1[[#This Row],[costo_total]]</f>
        <v>1138695</v>
      </c>
      <c r="N452" s="3">
        <f>Tabla1[[#This Row],[margen]]/Tabla1[[#This Row],[venta_total]]</f>
        <v>0.25000016466228753</v>
      </c>
    </row>
    <row r="453" spans="1:14" x14ac:dyDescent="0.25">
      <c r="A453" s="2">
        <v>45468</v>
      </c>
      <c r="B453" t="s">
        <v>18</v>
      </c>
      <c r="C453" t="s">
        <v>11</v>
      </c>
      <c r="D453" t="s">
        <v>26</v>
      </c>
      <c r="E453" t="s">
        <v>13</v>
      </c>
      <c r="F453" t="s">
        <v>27</v>
      </c>
      <c r="G453">
        <v>1</v>
      </c>
      <c r="H453" s="1">
        <v>7587882</v>
      </c>
      <c r="I453" s="1">
        <v>6070305</v>
      </c>
      <c r="J453" t="s">
        <v>22</v>
      </c>
      <c r="K453" s="1">
        <f>Tabla1[[#This Row],[cantidad]]*Tabla1[[#This Row],[precio_unitario]]</f>
        <v>7587882</v>
      </c>
      <c r="L453" s="1">
        <f>Tabla1[[#This Row],[cantidad]]*Tabla1[[#This Row],[costo_unitario]]</f>
        <v>6070305</v>
      </c>
      <c r="M453" s="1">
        <f>Tabla1[[#This Row],[venta_total]]-Tabla1[[#This Row],[costo_total]]</f>
        <v>1517577</v>
      </c>
      <c r="N453" s="3">
        <f>Tabla1[[#This Row],[margen]]/Tabla1[[#This Row],[venta_total]]</f>
        <v>0.20000007907344897</v>
      </c>
    </row>
    <row r="454" spans="1:14" x14ac:dyDescent="0.25">
      <c r="A454" s="2">
        <v>45468</v>
      </c>
      <c r="B454" t="s">
        <v>10</v>
      </c>
      <c r="C454" t="s">
        <v>11</v>
      </c>
      <c r="D454" t="s">
        <v>38</v>
      </c>
      <c r="E454" t="s">
        <v>16</v>
      </c>
      <c r="F454" t="s">
        <v>39</v>
      </c>
      <c r="G454">
        <v>1</v>
      </c>
      <c r="H454" s="1">
        <v>5665444</v>
      </c>
      <c r="I454" s="1">
        <v>4249083</v>
      </c>
      <c r="J454" t="s">
        <v>15</v>
      </c>
      <c r="K454" s="1">
        <f>Tabla1[[#This Row],[cantidad]]*Tabla1[[#This Row],[precio_unitario]]</f>
        <v>5665444</v>
      </c>
      <c r="L454" s="1">
        <f>Tabla1[[#This Row],[cantidad]]*Tabla1[[#This Row],[costo_unitario]]</f>
        <v>4249083</v>
      </c>
      <c r="M454" s="1">
        <f>Tabla1[[#This Row],[venta_total]]-Tabla1[[#This Row],[costo_total]]</f>
        <v>1416361</v>
      </c>
      <c r="N454" s="3">
        <f>Tabla1[[#This Row],[margen]]/Tabla1[[#This Row],[venta_total]]</f>
        <v>0.25</v>
      </c>
    </row>
    <row r="455" spans="1:14" x14ac:dyDescent="0.25">
      <c r="A455" s="2">
        <v>45336</v>
      </c>
      <c r="B455" t="s">
        <v>18</v>
      </c>
      <c r="C455" t="s">
        <v>11</v>
      </c>
      <c r="D455" t="s">
        <v>19</v>
      </c>
      <c r="E455" t="s">
        <v>20</v>
      </c>
      <c r="F455" t="s">
        <v>21</v>
      </c>
      <c r="G455">
        <v>2</v>
      </c>
      <c r="H455" s="1">
        <v>389193</v>
      </c>
      <c r="I455" s="1">
        <v>233515</v>
      </c>
      <c r="J455" t="s">
        <v>29</v>
      </c>
      <c r="K455" s="1">
        <f>Tabla1[[#This Row],[cantidad]]*Tabla1[[#This Row],[precio_unitario]]</f>
        <v>778386</v>
      </c>
      <c r="L455" s="1">
        <f>Tabla1[[#This Row],[cantidad]]*Tabla1[[#This Row],[costo_unitario]]</f>
        <v>467030</v>
      </c>
      <c r="M455" s="1">
        <f>Tabla1[[#This Row],[venta_total]]-Tabla1[[#This Row],[costo_total]]</f>
        <v>311356</v>
      </c>
      <c r="N455" s="3">
        <f>Tabla1[[#This Row],[margen]]/Tabla1[[#This Row],[venta_total]]</f>
        <v>0.40000205553542845</v>
      </c>
    </row>
    <row r="456" spans="1:14" x14ac:dyDescent="0.25">
      <c r="A456" s="2">
        <v>45458</v>
      </c>
      <c r="B456" t="s">
        <v>18</v>
      </c>
      <c r="C456" t="s">
        <v>11</v>
      </c>
      <c r="D456" t="s">
        <v>12</v>
      </c>
      <c r="E456" t="s">
        <v>13</v>
      </c>
      <c r="F456" t="s">
        <v>14</v>
      </c>
      <c r="G456">
        <v>1</v>
      </c>
      <c r="H456" s="1">
        <v>4463024</v>
      </c>
      <c r="I456" s="1">
        <v>3570419</v>
      </c>
      <c r="J456" t="s">
        <v>29</v>
      </c>
      <c r="K456" s="1">
        <f>Tabla1[[#This Row],[cantidad]]*Tabla1[[#This Row],[precio_unitario]]</f>
        <v>4463024</v>
      </c>
      <c r="L456" s="1">
        <f>Tabla1[[#This Row],[cantidad]]*Tabla1[[#This Row],[costo_unitario]]</f>
        <v>3570419</v>
      </c>
      <c r="M456" s="1">
        <f>Tabla1[[#This Row],[venta_total]]-Tabla1[[#This Row],[costo_total]]</f>
        <v>892605</v>
      </c>
      <c r="N456" s="3">
        <f>Tabla1[[#This Row],[margen]]/Tabla1[[#This Row],[venta_total]]</f>
        <v>0.20000004481266515</v>
      </c>
    </row>
    <row r="457" spans="1:14" x14ac:dyDescent="0.25">
      <c r="A457" s="2">
        <v>45466</v>
      </c>
      <c r="B457" t="s">
        <v>34</v>
      </c>
      <c r="C457" t="s">
        <v>11</v>
      </c>
      <c r="D457" t="s">
        <v>26</v>
      </c>
      <c r="E457" t="s">
        <v>20</v>
      </c>
      <c r="F457" t="s">
        <v>36</v>
      </c>
      <c r="G457">
        <v>1</v>
      </c>
      <c r="H457" s="1">
        <v>2272374</v>
      </c>
      <c r="I457" s="1">
        <v>1704280</v>
      </c>
      <c r="J457" t="s">
        <v>29</v>
      </c>
      <c r="K457" s="1">
        <f>Tabla1[[#This Row],[cantidad]]*Tabla1[[#This Row],[precio_unitario]]</f>
        <v>2272374</v>
      </c>
      <c r="L457" s="1">
        <f>Tabla1[[#This Row],[cantidad]]*Tabla1[[#This Row],[costo_unitario]]</f>
        <v>1704280</v>
      </c>
      <c r="M457" s="1">
        <f>Tabla1[[#This Row],[venta_total]]-Tabla1[[#This Row],[costo_total]]</f>
        <v>568094</v>
      </c>
      <c r="N457" s="3">
        <f>Tabla1[[#This Row],[margen]]/Tabla1[[#This Row],[venta_total]]</f>
        <v>0.25000022003420214</v>
      </c>
    </row>
    <row r="458" spans="1:14" x14ac:dyDescent="0.25">
      <c r="A458" s="2">
        <v>45382</v>
      </c>
      <c r="B458" t="s">
        <v>34</v>
      </c>
      <c r="C458" t="s">
        <v>11</v>
      </c>
      <c r="D458" t="s">
        <v>26</v>
      </c>
      <c r="E458" t="s">
        <v>20</v>
      </c>
      <c r="F458" t="s">
        <v>36</v>
      </c>
      <c r="G458">
        <v>1</v>
      </c>
      <c r="H458" s="1">
        <v>2429684</v>
      </c>
      <c r="I458" s="1">
        <v>1822263</v>
      </c>
      <c r="J458" t="s">
        <v>25</v>
      </c>
      <c r="K458" s="1">
        <f>Tabla1[[#This Row],[cantidad]]*Tabla1[[#This Row],[precio_unitario]]</f>
        <v>2429684</v>
      </c>
      <c r="L458" s="1">
        <f>Tabla1[[#This Row],[cantidad]]*Tabla1[[#This Row],[costo_unitario]]</f>
        <v>1822263</v>
      </c>
      <c r="M458" s="1">
        <f>Tabla1[[#This Row],[venta_total]]-Tabla1[[#This Row],[costo_total]]</f>
        <v>607421</v>
      </c>
      <c r="N458" s="3">
        <f>Tabla1[[#This Row],[margen]]/Tabla1[[#This Row],[venta_total]]</f>
        <v>0.25</v>
      </c>
    </row>
    <row r="459" spans="1:14" x14ac:dyDescent="0.25">
      <c r="A459" s="2">
        <v>45463</v>
      </c>
      <c r="B459" t="s">
        <v>18</v>
      </c>
      <c r="C459" t="s">
        <v>11</v>
      </c>
      <c r="D459" t="s">
        <v>12</v>
      </c>
      <c r="E459" t="s">
        <v>20</v>
      </c>
      <c r="F459" t="s">
        <v>37</v>
      </c>
      <c r="G459">
        <v>1</v>
      </c>
      <c r="H459" s="1">
        <v>2372972</v>
      </c>
      <c r="I459" s="1">
        <v>1779729</v>
      </c>
      <c r="J459" t="s">
        <v>31</v>
      </c>
      <c r="K459" s="1">
        <f>Tabla1[[#This Row],[cantidad]]*Tabla1[[#This Row],[precio_unitario]]</f>
        <v>2372972</v>
      </c>
      <c r="L459" s="1">
        <f>Tabla1[[#This Row],[cantidad]]*Tabla1[[#This Row],[costo_unitario]]</f>
        <v>1779729</v>
      </c>
      <c r="M459" s="1">
        <f>Tabla1[[#This Row],[venta_total]]-Tabla1[[#This Row],[costo_total]]</f>
        <v>593243</v>
      </c>
      <c r="N459" s="3">
        <f>Tabla1[[#This Row],[margen]]/Tabla1[[#This Row],[venta_total]]</f>
        <v>0.25</v>
      </c>
    </row>
    <row r="460" spans="1:14" x14ac:dyDescent="0.25">
      <c r="A460" s="2">
        <v>45397</v>
      </c>
      <c r="B460" t="s">
        <v>18</v>
      </c>
      <c r="C460" t="s">
        <v>11</v>
      </c>
      <c r="D460" t="s">
        <v>19</v>
      </c>
      <c r="E460" t="s">
        <v>16</v>
      </c>
      <c r="F460" t="s">
        <v>35</v>
      </c>
      <c r="G460">
        <v>2</v>
      </c>
      <c r="H460" s="1">
        <v>966129</v>
      </c>
      <c r="I460" s="1">
        <v>627983</v>
      </c>
      <c r="J460" t="s">
        <v>22</v>
      </c>
      <c r="K460" s="1">
        <f>Tabla1[[#This Row],[cantidad]]*Tabla1[[#This Row],[precio_unitario]]</f>
        <v>1932258</v>
      </c>
      <c r="L460" s="1">
        <f>Tabla1[[#This Row],[cantidad]]*Tabla1[[#This Row],[costo_unitario]]</f>
        <v>1255966</v>
      </c>
      <c r="M460" s="1">
        <f>Tabla1[[#This Row],[venta_total]]-Tabla1[[#This Row],[costo_total]]</f>
        <v>676292</v>
      </c>
      <c r="N460" s="3">
        <f>Tabla1[[#This Row],[margen]]/Tabla1[[#This Row],[venta_total]]</f>
        <v>0.35000087979969546</v>
      </c>
    </row>
    <row r="461" spans="1:14" x14ac:dyDescent="0.25">
      <c r="A461" s="2">
        <v>45388</v>
      </c>
      <c r="B461" t="s">
        <v>34</v>
      </c>
      <c r="C461" t="s">
        <v>11</v>
      </c>
      <c r="D461" t="s">
        <v>12</v>
      </c>
      <c r="E461" t="s">
        <v>13</v>
      </c>
      <c r="F461" t="s">
        <v>14</v>
      </c>
      <c r="G461">
        <v>1</v>
      </c>
      <c r="H461" s="1">
        <v>5229034</v>
      </c>
      <c r="I461" s="1">
        <v>4183227</v>
      </c>
      <c r="J461" t="s">
        <v>25</v>
      </c>
      <c r="K461" s="1">
        <f>Tabla1[[#This Row],[cantidad]]*Tabla1[[#This Row],[precio_unitario]]</f>
        <v>5229034</v>
      </c>
      <c r="L461" s="1">
        <f>Tabla1[[#This Row],[cantidad]]*Tabla1[[#This Row],[costo_unitario]]</f>
        <v>4183227</v>
      </c>
      <c r="M461" s="1">
        <f>Tabla1[[#This Row],[venta_total]]-Tabla1[[#This Row],[costo_total]]</f>
        <v>1045807</v>
      </c>
      <c r="N461" s="3">
        <f>Tabla1[[#This Row],[margen]]/Tabla1[[#This Row],[venta_total]]</f>
        <v>0.20000003824798232</v>
      </c>
    </row>
    <row r="462" spans="1:14" x14ac:dyDescent="0.25">
      <c r="A462" s="2">
        <v>45461</v>
      </c>
      <c r="B462" t="s">
        <v>34</v>
      </c>
      <c r="C462" t="s">
        <v>11</v>
      </c>
      <c r="D462" t="s">
        <v>38</v>
      </c>
      <c r="E462" t="s">
        <v>13</v>
      </c>
      <c r="F462" t="s">
        <v>41</v>
      </c>
      <c r="G462">
        <v>1</v>
      </c>
      <c r="H462" s="1">
        <v>8078638</v>
      </c>
      <c r="I462" s="1">
        <v>6462910</v>
      </c>
      <c r="J462" t="s">
        <v>25</v>
      </c>
      <c r="K462" s="1">
        <f>Tabla1[[#This Row],[cantidad]]*Tabla1[[#This Row],[precio_unitario]]</f>
        <v>8078638</v>
      </c>
      <c r="L462" s="1">
        <f>Tabla1[[#This Row],[cantidad]]*Tabla1[[#This Row],[costo_unitario]]</f>
        <v>6462910</v>
      </c>
      <c r="M462" s="1">
        <f>Tabla1[[#This Row],[venta_total]]-Tabla1[[#This Row],[costo_total]]</f>
        <v>1615728</v>
      </c>
      <c r="N462" s="3">
        <f>Tabla1[[#This Row],[margen]]/Tabla1[[#This Row],[venta_total]]</f>
        <v>0.20000004951329667</v>
      </c>
    </row>
    <row r="463" spans="1:14" x14ac:dyDescent="0.25">
      <c r="A463" s="2">
        <v>45364</v>
      </c>
      <c r="B463" t="s">
        <v>34</v>
      </c>
      <c r="C463" t="s">
        <v>11</v>
      </c>
      <c r="D463" t="s">
        <v>12</v>
      </c>
      <c r="E463" t="s">
        <v>16</v>
      </c>
      <c r="F463" t="s">
        <v>17</v>
      </c>
      <c r="G463">
        <v>1</v>
      </c>
      <c r="H463" s="1">
        <v>3322351</v>
      </c>
      <c r="I463" s="1">
        <v>2591433</v>
      </c>
      <c r="J463" t="s">
        <v>22</v>
      </c>
      <c r="K463" s="1">
        <f>Tabla1[[#This Row],[cantidad]]*Tabla1[[#This Row],[precio_unitario]]</f>
        <v>3322351</v>
      </c>
      <c r="L463" s="1">
        <f>Tabla1[[#This Row],[cantidad]]*Tabla1[[#This Row],[costo_unitario]]</f>
        <v>2591433</v>
      </c>
      <c r="M463" s="1">
        <f>Tabla1[[#This Row],[venta_total]]-Tabla1[[#This Row],[costo_total]]</f>
        <v>730918</v>
      </c>
      <c r="N463" s="3">
        <f>Tabla1[[#This Row],[margen]]/Tabla1[[#This Row],[venta_total]]</f>
        <v>0.22000023477350827</v>
      </c>
    </row>
    <row r="464" spans="1:14" x14ac:dyDescent="0.25">
      <c r="A464" s="2">
        <v>45442</v>
      </c>
      <c r="B464" t="s">
        <v>10</v>
      </c>
      <c r="C464" t="s">
        <v>11</v>
      </c>
      <c r="D464" t="s">
        <v>19</v>
      </c>
      <c r="E464" t="s">
        <v>16</v>
      </c>
      <c r="F464" t="s">
        <v>35</v>
      </c>
      <c r="G464">
        <v>3</v>
      </c>
      <c r="H464" s="1">
        <v>783825</v>
      </c>
      <c r="I464" s="1">
        <v>509486</v>
      </c>
      <c r="J464" t="s">
        <v>22</v>
      </c>
      <c r="K464" s="1">
        <f>Tabla1[[#This Row],[cantidad]]*Tabla1[[#This Row],[precio_unitario]]</f>
        <v>2351475</v>
      </c>
      <c r="L464" s="1">
        <f>Tabla1[[#This Row],[cantidad]]*Tabla1[[#This Row],[costo_unitario]]</f>
        <v>1528458</v>
      </c>
      <c r="M464" s="1">
        <f>Tabla1[[#This Row],[venta_total]]-Tabla1[[#This Row],[costo_total]]</f>
        <v>823017</v>
      </c>
      <c r="N464" s="3">
        <f>Tabla1[[#This Row],[margen]]/Tabla1[[#This Row],[venta_total]]</f>
        <v>0.35000031894874495</v>
      </c>
    </row>
    <row r="465" spans="1:14" x14ac:dyDescent="0.25">
      <c r="A465" s="2">
        <v>45404</v>
      </c>
      <c r="B465" t="s">
        <v>34</v>
      </c>
      <c r="C465" t="s">
        <v>11</v>
      </c>
      <c r="D465" t="s">
        <v>26</v>
      </c>
      <c r="E465" t="s">
        <v>13</v>
      </c>
      <c r="F465" t="s">
        <v>27</v>
      </c>
      <c r="G465">
        <v>1</v>
      </c>
      <c r="H465" s="1">
        <v>7107135</v>
      </c>
      <c r="I465" s="1">
        <v>5685708</v>
      </c>
      <c r="J465" t="s">
        <v>22</v>
      </c>
      <c r="K465" s="1">
        <f>Tabla1[[#This Row],[cantidad]]*Tabla1[[#This Row],[precio_unitario]]</f>
        <v>7107135</v>
      </c>
      <c r="L465" s="1">
        <f>Tabla1[[#This Row],[cantidad]]*Tabla1[[#This Row],[costo_unitario]]</f>
        <v>5685708</v>
      </c>
      <c r="M465" s="1">
        <f>Tabla1[[#This Row],[venta_total]]-Tabla1[[#This Row],[costo_total]]</f>
        <v>1421427</v>
      </c>
      <c r="N465" s="3">
        <f>Tabla1[[#This Row],[margen]]/Tabla1[[#This Row],[venta_total]]</f>
        <v>0.2</v>
      </c>
    </row>
    <row r="466" spans="1:14" x14ac:dyDescent="0.25">
      <c r="A466" s="2">
        <v>45369</v>
      </c>
      <c r="B466" t="s">
        <v>10</v>
      </c>
      <c r="C466" t="s">
        <v>11</v>
      </c>
      <c r="D466" t="s">
        <v>23</v>
      </c>
      <c r="E466" t="s">
        <v>16</v>
      </c>
      <c r="F466" t="s">
        <v>24</v>
      </c>
      <c r="G466">
        <v>1</v>
      </c>
      <c r="H466" s="1">
        <v>1966431</v>
      </c>
      <c r="I466" s="1">
        <v>1474823</v>
      </c>
      <c r="J466" t="s">
        <v>25</v>
      </c>
      <c r="K466" s="1">
        <f>Tabla1[[#This Row],[cantidad]]*Tabla1[[#This Row],[precio_unitario]]</f>
        <v>1966431</v>
      </c>
      <c r="L466" s="1">
        <f>Tabla1[[#This Row],[cantidad]]*Tabla1[[#This Row],[costo_unitario]]</f>
        <v>1474823</v>
      </c>
      <c r="M466" s="1">
        <f>Tabla1[[#This Row],[venta_total]]-Tabla1[[#This Row],[costo_total]]</f>
        <v>491608</v>
      </c>
      <c r="N466" s="3">
        <f>Tabla1[[#This Row],[margen]]/Tabla1[[#This Row],[venta_total]]</f>
        <v>0.25000012713387859</v>
      </c>
    </row>
    <row r="467" spans="1:14" x14ac:dyDescent="0.25">
      <c r="A467" s="2">
        <v>45299</v>
      </c>
      <c r="B467" t="s">
        <v>18</v>
      </c>
      <c r="C467" t="s">
        <v>11</v>
      </c>
      <c r="D467" t="s">
        <v>12</v>
      </c>
      <c r="E467" t="s">
        <v>13</v>
      </c>
      <c r="F467" t="s">
        <v>14</v>
      </c>
      <c r="G467">
        <v>1</v>
      </c>
      <c r="H467" s="1">
        <v>5440347</v>
      </c>
      <c r="I467" s="1">
        <v>4352277</v>
      </c>
      <c r="J467" t="s">
        <v>25</v>
      </c>
      <c r="K467" s="1">
        <f>Tabla1[[#This Row],[cantidad]]*Tabla1[[#This Row],[precio_unitario]]</f>
        <v>5440347</v>
      </c>
      <c r="L467" s="1">
        <f>Tabla1[[#This Row],[cantidad]]*Tabla1[[#This Row],[costo_unitario]]</f>
        <v>4352277</v>
      </c>
      <c r="M467" s="1">
        <f>Tabla1[[#This Row],[venta_total]]-Tabla1[[#This Row],[costo_total]]</f>
        <v>1088070</v>
      </c>
      <c r="N467" s="3">
        <f>Tabla1[[#This Row],[margen]]/Tabla1[[#This Row],[venta_total]]</f>
        <v>0.20000011028708278</v>
      </c>
    </row>
    <row r="468" spans="1:14" x14ac:dyDescent="0.25">
      <c r="A468" s="2">
        <v>45432</v>
      </c>
      <c r="B468" t="s">
        <v>32</v>
      </c>
      <c r="C468" t="s">
        <v>11</v>
      </c>
      <c r="D468" t="s">
        <v>23</v>
      </c>
      <c r="E468" t="s">
        <v>13</v>
      </c>
      <c r="F468" t="s">
        <v>28</v>
      </c>
      <c r="G468">
        <v>1</v>
      </c>
      <c r="H468" s="1">
        <v>2123802</v>
      </c>
      <c r="I468" s="1">
        <v>1699041</v>
      </c>
      <c r="J468" t="s">
        <v>29</v>
      </c>
      <c r="K468" s="1">
        <f>Tabla1[[#This Row],[cantidad]]*Tabla1[[#This Row],[precio_unitario]]</f>
        <v>2123802</v>
      </c>
      <c r="L468" s="1">
        <f>Tabla1[[#This Row],[cantidad]]*Tabla1[[#This Row],[costo_unitario]]</f>
        <v>1699041</v>
      </c>
      <c r="M468" s="1">
        <f>Tabla1[[#This Row],[venta_total]]-Tabla1[[#This Row],[costo_total]]</f>
        <v>424761</v>
      </c>
      <c r="N468" s="3">
        <f>Tabla1[[#This Row],[margen]]/Tabla1[[#This Row],[venta_total]]</f>
        <v>0.20000028251221158</v>
      </c>
    </row>
    <row r="469" spans="1:14" x14ac:dyDescent="0.25">
      <c r="A469" s="2">
        <v>45414</v>
      </c>
      <c r="B469" t="s">
        <v>32</v>
      </c>
      <c r="C469" t="s">
        <v>11</v>
      </c>
      <c r="D469" t="s">
        <v>12</v>
      </c>
      <c r="E469" t="s">
        <v>20</v>
      </c>
      <c r="F469" t="s">
        <v>37</v>
      </c>
      <c r="G469">
        <v>1</v>
      </c>
      <c r="H469" s="1">
        <v>2059659</v>
      </c>
      <c r="I469" s="1">
        <v>1544744</v>
      </c>
      <c r="J469" t="s">
        <v>31</v>
      </c>
      <c r="K469" s="1">
        <f>Tabla1[[#This Row],[cantidad]]*Tabla1[[#This Row],[precio_unitario]]</f>
        <v>2059659</v>
      </c>
      <c r="L469" s="1">
        <f>Tabla1[[#This Row],[cantidad]]*Tabla1[[#This Row],[costo_unitario]]</f>
        <v>1544744</v>
      </c>
      <c r="M469" s="1">
        <f>Tabla1[[#This Row],[venta_total]]-Tabla1[[#This Row],[costo_total]]</f>
        <v>514915</v>
      </c>
      <c r="N469" s="3">
        <f>Tabla1[[#This Row],[margen]]/Tabla1[[#This Row],[venta_total]]</f>
        <v>0.25000012137931571</v>
      </c>
    </row>
    <row r="470" spans="1:14" x14ac:dyDescent="0.25">
      <c r="A470" s="2">
        <v>45401</v>
      </c>
      <c r="B470" t="s">
        <v>34</v>
      </c>
      <c r="C470" t="s">
        <v>11</v>
      </c>
      <c r="D470" t="s">
        <v>23</v>
      </c>
      <c r="E470" t="s">
        <v>20</v>
      </c>
      <c r="F470" t="s">
        <v>30</v>
      </c>
      <c r="G470">
        <v>1</v>
      </c>
      <c r="H470" s="1">
        <v>979843</v>
      </c>
      <c r="I470" s="1">
        <v>685890</v>
      </c>
      <c r="J470" t="s">
        <v>31</v>
      </c>
      <c r="K470" s="1">
        <f>Tabla1[[#This Row],[cantidad]]*Tabla1[[#This Row],[precio_unitario]]</f>
        <v>979843</v>
      </c>
      <c r="L470" s="1">
        <f>Tabla1[[#This Row],[cantidad]]*Tabla1[[#This Row],[costo_unitario]]</f>
        <v>685890</v>
      </c>
      <c r="M470" s="1">
        <f>Tabla1[[#This Row],[venta_total]]-Tabla1[[#This Row],[costo_total]]</f>
        <v>293953</v>
      </c>
      <c r="N470" s="3">
        <f>Tabla1[[#This Row],[margen]]/Tabla1[[#This Row],[venta_total]]</f>
        <v>0.30000010205716632</v>
      </c>
    </row>
    <row r="471" spans="1:14" x14ac:dyDescent="0.25">
      <c r="A471" s="2">
        <v>45359</v>
      </c>
      <c r="B471" t="s">
        <v>18</v>
      </c>
      <c r="C471" t="s">
        <v>11</v>
      </c>
      <c r="D471" t="s">
        <v>19</v>
      </c>
      <c r="E471" t="s">
        <v>20</v>
      </c>
      <c r="F471" t="s">
        <v>21</v>
      </c>
      <c r="G471">
        <v>1</v>
      </c>
      <c r="H471" s="1">
        <v>394290</v>
      </c>
      <c r="I471" s="1">
        <v>236574</v>
      </c>
      <c r="J471" t="s">
        <v>29</v>
      </c>
      <c r="K471" s="1">
        <f>Tabla1[[#This Row],[cantidad]]*Tabla1[[#This Row],[precio_unitario]]</f>
        <v>394290</v>
      </c>
      <c r="L471" s="1">
        <f>Tabla1[[#This Row],[cantidad]]*Tabla1[[#This Row],[costo_unitario]]</f>
        <v>236574</v>
      </c>
      <c r="M471" s="1">
        <f>Tabla1[[#This Row],[venta_total]]-Tabla1[[#This Row],[costo_total]]</f>
        <v>157716</v>
      </c>
      <c r="N471" s="3">
        <f>Tabla1[[#This Row],[margen]]/Tabla1[[#This Row],[venta_total]]</f>
        <v>0.4</v>
      </c>
    </row>
    <row r="472" spans="1:14" x14ac:dyDescent="0.25">
      <c r="A472" s="2">
        <v>45451</v>
      </c>
      <c r="B472" t="s">
        <v>10</v>
      </c>
      <c r="C472" t="s">
        <v>11</v>
      </c>
      <c r="D472" t="s">
        <v>26</v>
      </c>
      <c r="E472" t="s">
        <v>20</v>
      </c>
      <c r="F472" t="s">
        <v>36</v>
      </c>
      <c r="G472">
        <v>1</v>
      </c>
      <c r="H472" s="1">
        <v>3124031</v>
      </c>
      <c r="I472" s="1">
        <v>2343023</v>
      </c>
      <c r="J472" t="s">
        <v>22</v>
      </c>
      <c r="K472" s="1">
        <f>Tabla1[[#This Row],[cantidad]]*Tabla1[[#This Row],[precio_unitario]]</f>
        <v>3124031</v>
      </c>
      <c r="L472" s="1">
        <f>Tabla1[[#This Row],[cantidad]]*Tabla1[[#This Row],[costo_unitario]]</f>
        <v>2343023</v>
      </c>
      <c r="M472" s="1">
        <f>Tabla1[[#This Row],[venta_total]]-Tabla1[[#This Row],[costo_total]]</f>
        <v>781008</v>
      </c>
      <c r="N472" s="3">
        <f>Tabla1[[#This Row],[margen]]/Tabla1[[#This Row],[venta_total]]</f>
        <v>0.25000008002481411</v>
      </c>
    </row>
    <row r="473" spans="1:14" x14ac:dyDescent="0.25">
      <c r="A473" s="2">
        <v>45423</v>
      </c>
      <c r="B473" t="s">
        <v>10</v>
      </c>
      <c r="C473" t="s">
        <v>11</v>
      </c>
      <c r="D473" t="s">
        <v>19</v>
      </c>
      <c r="E473" t="s">
        <v>16</v>
      </c>
      <c r="F473" t="s">
        <v>35</v>
      </c>
      <c r="G473">
        <v>1</v>
      </c>
      <c r="H473" s="1">
        <v>1199081</v>
      </c>
      <c r="I473" s="1">
        <v>779402</v>
      </c>
      <c r="J473" t="s">
        <v>25</v>
      </c>
      <c r="K473" s="1">
        <f>Tabla1[[#This Row],[cantidad]]*Tabla1[[#This Row],[precio_unitario]]</f>
        <v>1199081</v>
      </c>
      <c r="L473" s="1">
        <f>Tabla1[[#This Row],[cantidad]]*Tabla1[[#This Row],[costo_unitario]]</f>
        <v>779402</v>
      </c>
      <c r="M473" s="1">
        <f>Tabla1[[#This Row],[venta_total]]-Tabla1[[#This Row],[costo_total]]</f>
        <v>419679</v>
      </c>
      <c r="N473" s="3">
        <f>Tabla1[[#This Row],[margen]]/Tabla1[[#This Row],[venta_total]]</f>
        <v>0.35000054208181097</v>
      </c>
    </row>
    <row r="474" spans="1:14" x14ac:dyDescent="0.25">
      <c r="A474" s="2">
        <v>45411</v>
      </c>
      <c r="B474" t="s">
        <v>10</v>
      </c>
      <c r="C474" t="s">
        <v>11</v>
      </c>
      <c r="D474" t="s">
        <v>19</v>
      </c>
      <c r="E474" t="s">
        <v>13</v>
      </c>
      <c r="F474" t="s">
        <v>33</v>
      </c>
      <c r="G474">
        <v>3</v>
      </c>
      <c r="H474" s="1">
        <v>1396107</v>
      </c>
      <c r="I474" s="1">
        <v>977274</v>
      </c>
      <c r="J474" t="s">
        <v>29</v>
      </c>
      <c r="K474" s="1">
        <f>Tabla1[[#This Row],[cantidad]]*Tabla1[[#This Row],[precio_unitario]]</f>
        <v>4188321</v>
      </c>
      <c r="L474" s="1">
        <f>Tabla1[[#This Row],[cantidad]]*Tabla1[[#This Row],[costo_unitario]]</f>
        <v>2931822</v>
      </c>
      <c r="M474" s="1">
        <f>Tabla1[[#This Row],[venta_total]]-Tabla1[[#This Row],[costo_total]]</f>
        <v>1256499</v>
      </c>
      <c r="N474" s="3">
        <f>Tabla1[[#This Row],[margen]]/Tabla1[[#This Row],[venta_total]]</f>
        <v>0.30000064464972959</v>
      </c>
    </row>
    <row r="475" spans="1:14" x14ac:dyDescent="0.25">
      <c r="A475" s="2">
        <v>45417</v>
      </c>
      <c r="B475" t="s">
        <v>10</v>
      </c>
      <c r="C475" t="s">
        <v>11</v>
      </c>
      <c r="D475" t="s">
        <v>19</v>
      </c>
      <c r="E475" t="s">
        <v>13</v>
      </c>
      <c r="F475" t="s">
        <v>33</v>
      </c>
      <c r="G475">
        <v>3</v>
      </c>
      <c r="H475" s="1">
        <v>1266758</v>
      </c>
      <c r="I475" s="1">
        <v>886730</v>
      </c>
      <c r="J475" t="s">
        <v>29</v>
      </c>
      <c r="K475" s="1">
        <f>Tabla1[[#This Row],[cantidad]]*Tabla1[[#This Row],[precio_unitario]]</f>
        <v>3800274</v>
      </c>
      <c r="L475" s="1">
        <f>Tabla1[[#This Row],[cantidad]]*Tabla1[[#This Row],[costo_unitario]]</f>
        <v>2660190</v>
      </c>
      <c r="M475" s="1">
        <f>Tabla1[[#This Row],[venta_total]]-Tabla1[[#This Row],[costo_total]]</f>
        <v>1140084</v>
      </c>
      <c r="N475" s="3">
        <f>Tabla1[[#This Row],[margen]]/Tabla1[[#This Row],[venta_total]]</f>
        <v>0.30000047365005789</v>
      </c>
    </row>
    <row r="476" spans="1:14" x14ac:dyDescent="0.25">
      <c r="A476" s="2">
        <v>45361</v>
      </c>
      <c r="B476" t="s">
        <v>34</v>
      </c>
      <c r="C476" t="s">
        <v>11</v>
      </c>
      <c r="D476" t="s">
        <v>26</v>
      </c>
      <c r="E476" t="s">
        <v>20</v>
      </c>
      <c r="F476" t="s">
        <v>36</v>
      </c>
      <c r="G476">
        <v>1</v>
      </c>
      <c r="H476" s="1">
        <v>2162550</v>
      </c>
      <c r="I476" s="1">
        <v>1621912</v>
      </c>
      <c r="J476" t="s">
        <v>31</v>
      </c>
      <c r="K476" s="1">
        <f>Tabla1[[#This Row],[cantidad]]*Tabla1[[#This Row],[precio_unitario]]</f>
        <v>2162550</v>
      </c>
      <c r="L476" s="1">
        <f>Tabla1[[#This Row],[cantidad]]*Tabla1[[#This Row],[costo_unitario]]</f>
        <v>1621912</v>
      </c>
      <c r="M476" s="1">
        <f>Tabla1[[#This Row],[venta_total]]-Tabla1[[#This Row],[costo_total]]</f>
        <v>540638</v>
      </c>
      <c r="N476" s="3">
        <f>Tabla1[[#This Row],[margen]]/Tabla1[[#This Row],[venta_total]]</f>
        <v>0.25000023120852699</v>
      </c>
    </row>
    <row r="477" spans="1:14" x14ac:dyDescent="0.25">
      <c r="A477" s="2">
        <v>45346</v>
      </c>
      <c r="B477" t="s">
        <v>34</v>
      </c>
      <c r="C477" t="s">
        <v>11</v>
      </c>
      <c r="D477" t="s">
        <v>38</v>
      </c>
      <c r="E477" t="s">
        <v>16</v>
      </c>
      <c r="F477" t="s">
        <v>39</v>
      </c>
      <c r="G477">
        <v>1</v>
      </c>
      <c r="H477" s="1">
        <v>4492524</v>
      </c>
      <c r="I477" s="1">
        <v>3369393</v>
      </c>
      <c r="J477" t="s">
        <v>31</v>
      </c>
      <c r="K477" s="1">
        <f>Tabla1[[#This Row],[cantidad]]*Tabla1[[#This Row],[precio_unitario]]</f>
        <v>4492524</v>
      </c>
      <c r="L477" s="1">
        <f>Tabla1[[#This Row],[cantidad]]*Tabla1[[#This Row],[costo_unitario]]</f>
        <v>3369393</v>
      </c>
      <c r="M477" s="1">
        <f>Tabla1[[#This Row],[venta_total]]-Tabla1[[#This Row],[costo_total]]</f>
        <v>1123131</v>
      </c>
      <c r="N477" s="3">
        <f>Tabla1[[#This Row],[margen]]/Tabla1[[#This Row],[venta_total]]</f>
        <v>0.25</v>
      </c>
    </row>
    <row r="478" spans="1:14" x14ac:dyDescent="0.25">
      <c r="A478" s="2">
        <v>45466</v>
      </c>
      <c r="B478" t="s">
        <v>34</v>
      </c>
      <c r="C478" t="s">
        <v>11</v>
      </c>
      <c r="D478" t="s">
        <v>12</v>
      </c>
      <c r="E478" t="s">
        <v>16</v>
      </c>
      <c r="F478" t="s">
        <v>17</v>
      </c>
      <c r="G478">
        <v>1</v>
      </c>
      <c r="H478" s="1">
        <v>3207831</v>
      </c>
      <c r="I478" s="1">
        <v>2502108</v>
      </c>
      <c r="J478" t="s">
        <v>22</v>
      </c>
      <c r="K478" s="1">
        <f>Tabla1[[#This Row],[cantidad]]*Tabla1[[#This Row],[precio_unitario]]</f>
        <v>3207831</v>
      </c>
      <c r="L478" s="1">
        <f>Tabla1[[#This Row],[cantidad]]*Tabla1[[#This Row],[costo_unitario]]</f>
        <v>2502108</v>
      </c>
      <c r="M478" s="1">
        <f>Tabla1[[#This Row],[venta_total]]-Tabla1[[#This Row],[costo_total]]</f>
        <v>705723</v>
      </c>
      <c r="N478" s="3">
        <f>Tabla1[[#This Row],[margen]]/Tabla1[[#This Row],[venta_total]]</f>
        <v>0.22000005611268175</v>
      </c>
    </row>
    <row r="479" spans="1:14" x14ac:dyDescent="0.25">
      <c r="A479" s="2">
        <v>45367</v>
      </c>
      <c r="B479" t="s">
        <v>10</v>
      </c>
      <c r="C479" t="s">
        <v>11</v>
      </c>
      <c r="D479" t="s">
        <v>23</v>
      </c>
      <c r="E479" t="s">
        <v>13</v>
      </c>
      <c r="F479" t="s">
        <v>28</v>
      </c>
      <c r="G479">
        <v>1</v>
      </c>
      <c r="H479" s="1">
        <v>2441992</v>
      </c>
      <c r="I479" s="1">
        <v>1953593</v>
      </c>
      <c r="J479" t="s">
        <v>22</v>
      </c>
      <c r="K479" s="1">
        <f>Tabla1[[#This Row],[cantidad]]*Tabla1[[#This Row],[precio_unitario]]</f>
        <v>2441992</v>
      </c>
      <c r="L479" s="1">
        <f>Tabla1[[#This Row],[cantidad]]*Tabla1[[#This Row],[costo_unitario]]</f>
        <v>1953593</v>
      </c>
      <c r="M479" s="1">
        <f>Tabla1[[#This Row],[venta_total]]-Tabla1[[#This Row],[costo_total]]</f>
        <v>488399</v>
      </c>
      <c r="N479" s="3">
        <f>Tabla1[[#This Row],[margen]]/Tabla1[[#This Row],[venta_total]]</f>
        <v>0.20000024570105063</v>
      </c>
    </row>
    <row r="480" spans="1:14" x14ac:dyDescent="0.25">
      <c r="A480" s="2">
        <v>45335</v>
      </c>
      <c r="B480" t="s">
        <v>34</v>
      </c>
      <c r="C480" t="s">
        <v>11</v>
      </c>
      <c r="D480" t="s">
        <v>38</v>
      </c>
      <c r="E480" t="s">
        <v>16</v>
      </c>
      <c r="F480" t="s">
        <v>39</v>
      </c>
      <c r="G480">
        <v>1</v>
      </c>
      <c r="H480" s="1">
        <v>4746357</v>
      </c>
      <c r="I480" s="1">
        <v>3559767</v>
      </c>
      <c r="J480" t="s">
        <v>25</v>
      </c>
      <c r="K480" s="1">
        <f>Tabla1[[#This Row],[cantidad]]*Tabla1[[#This Row],[precio_unitario]]</f>
        <v>4746357</v>
      </c>
      <c r="L480" s="1">
        <f>Tabla1[[#This Row],[cantidad]]*Tabla1[[#This Row],[costo_unitario]]</f>
        <v>3559767</v>
      </c>
      <c r="M480" s="1">
        <f>Tabla1[[#This Row],[venta_total]]-Tabla1[[#This Row],[costo_total]]</f>
        <v>1186590</v>
      </c>
      <c r="N480" s="3">
        <f>Tabla1[[#This Row],[margen]]/Tabla1[[#This Row],[venta_total]]</f>
        <v>0.25000015801592673</v>
      </c>
    </row>
    <row r="481" spans="1:14" x14ac:dyDescent="0.25">
      <c r="A481" s="2">
        <v>45432</v>
      </c>
      <c r="B481" t="s">
        <v>32</v>
      </c>
      <c r="C481" t="s">
        <v>11</v>
      </c>
      <c r="D481" t="s">
        <v>38</v>
      </c>
      <c r="E481" t="s">
        <v>16</v>
      </c>
      <c r="F481" t="s">
        <v>39</v>
      </c>
      <c r="G481">
        <v>1</v>
      </c>
      <c r="H481" s="1">
        <v>4266608</v>
      </c>
      <c r="I481" s="1">
        <v>3199956</v>
      </c>
      <c r="J481" t="s">
        <v>31</v>
      </c>
      <c r="K481" s="1">
        <f>Tabla1[[#This Row],[cantidad]]*Tabla1[[#This Row],[precio_unitario]]</f>
        <v>4266608</v>
      </c>
      <c r="L481" s="1">
        <f>Tabla1[[#This Row],[cantidad]]*Tabla1[[#This Row],[costo_unitario]]</f>
        <v>3199956</v>
      </c>
      <c r="M481" s="1">
        <f>Tabla1[[#This Row],[venta_total]]-Tabla1[[#This Row],[costo_total]]</f>
        <v>1066652</v>
      </c>
      <c r="N481" s="3">
        <f>Tabla1[[#This Row],[margen]]/Tabla1[[#This Row],[venta_total]]</f>
        <v>0.25</v>
      </c>
    </row>
    <row r="482" spans="1:14" x14ac:dyDescent="0.25">
      <c r="A482" s="2">
        <v>45393</v>
      </c>
      <c r="B482" t="s">
        <v>18</v>
      </c>
      <c r="C482" t="s">
        <v>11</v>
      </c>
      <c r="D482" t="s">
        <v>26</v>
      </c>
      <c r="E482" t="s">
        <v>20</v>
      </c>
      <c r="F482" t="s">
        <v>36</v>
      </c>
      <c r="G482">
        <v>1</v>
      </c>
      <c r="H482" s="1">
        <v>2696271</v>
      </c>
      <c r="I482" s="1">
        <v>2022203</v>
      </c>
      <c r="J482" t="s">
        <v>22</v>
      </c>
      <c r="K482" s="1">
        <f>Tabla1[[#This Row],[cantidad]]*Tabla1[[#This Row],[precio_unitario]]</f>
        <v>2696271</v>
      </c>
      <c r="L482" s="1">
        <f>Tabla1[[#This Row],[cantidad]]*Tabla1[[#This Row],[costo_unitario]]</f>
        <v>2022203</v>
      </c>
      <c r="M482" s="1">
        <f>Tabla1[[#This Row],[venta_total]]-Tabla1[[#This Row],[costo_total]]</f>
        <v>674068</v>
      </c>
      <c r="N482" s="3">
        <f>Tabla1[[#This Row],[margen]]/Tabla1[[#This Row],[venta_total]]</f>
        <v>0.2500000927206501</v>
      </c>
    </row>
    <row r="483" spans="1:14" x14ac:dyDescent="0.25">
      <c r="A483" s="2">
        <v>45472</v>
      </c>
      <c r="B483" t="s">
        <v>18</v>
      </c>
      <c r="C483" t="s">
        <v>11</v>
      </c>
      <c r="D483" t="s">
        <v>38</v>
      </c>
      <c r="E483" t="s">
        <v>16</v>
      </c>
      <c r="F483" t="s">
        <v>39</v>
      </c>
      <c r="G483">
        <v>1</v>
      </c>
      <c r="H483" s="1">
        <v>4760567</v>
      </c>
      <c r="I483" s="1">
        <v>3570425</v>
      </c>
      <c r="J483" t="s">
        <v>25</v>
      </c>
      <c r="K483" s="1">
        <f>Tabla1[[#This Row],[cantidad]]*Tabla1[[#This Row],[precio_unitario]]</f>
        <v>4760567</v>
      </c>
      <c r="L483" s="1">
        <f>Tabla1[[#This Row],[cantidad]]*Tabla1[[#This Row],[costo_unitario]]</f>
        <v>3570425</v>
      </c>
      <c r="M483" s="1">
        <f>Tabla1[[#This Row],[venta_total]]-Tabla1[[#This Row],[costo_total]]</f>
        <v>1190142</v>
      </c>
      <c r="N483" s="3">
        <f>Tabla1[[#This Row],[margen]]/Tabla1[[#This Row],[venta_total]]</f>
        <v>0.25000005251475299</v>
      </c>
    </row>
    <row r="484" spans="1:14" x14ac:dyDescent="0.25">
      <c r="A484" s="2">
        <v>45457</v>
      </c>
      <c r="B484" t="s">
        <v>32</v>
      </c>
      <c r="C484" t="s">
        <v>11</v>
      </c>
      <c r="D484" t="s">
        <v>26</v>
      </c>
      <c r="E484" t="s">
        <v>20</v>
      </c>
      <c r="F484" t="s">
        <v>36</v>
      </c>
      <c r="G484">
        <v>1</v>
      </c>
      <c r="H484" s="1">
        <v>2099629</v>
      </c>
      <c r="I484" s="1">
        <v>1574721</v>
      </c>
      <c r="J484" t="s">
        <v>31</v>
      </c>
      <c r="K484" s="1">
        <f>Tabla1[[#This Row],[cantidad]]*Tabla1[[#This Row],[precio_unitario]]</f>
        <v>2099629</v>
      </c>
      <c r="L484" s="1">
        <f>Tabla1[[#This Row],[cantidad]]*Tabla1[[#This Row],[costo_unitario]]</f>
        <v>1574721</v>
      </c>
      <c r="M484" s="1">
        <f>Tabla1[[#This Row],[venta_total]]-Tabla1[[#This Row],[costo_total]]</f>
        <v>524908</v>
      </c>
      <c r="N484" s="3">
        <f>Tabla1[[#This Row],[margen]]/Tabla1[[#This Row],[venta_total]]</f>
        <v>0.25000035720596353</v>
      </c>
    </row>
    <row r="485" spans="1:14" x14ac:dyDescent="0.25">
      <c r="A485" s="2">
        <v>45418</v>
      </c>
      <c r="B485" t="s">
        <v>10</v>
      </c>
      <c r="C485" t="s">
        <v>11</v>
      </c>
      <c r="D485" t="s">
        <v>26</v>
      </c>
      <c r="E485" t="s">
        <v>20</v>
      </c>
      <c r="F485" t="s">
        <v>36</v>
      </c>
      <c r="G485">
        <v>1</v>
      </c>
      <c r="H485" s="1">
        <v>3007221</v>
      </c>
      <c r="I485" s="1">
        <v>2255415</v>
      </c>
      <c r="J485" t="s">
        <v>25</v>
      </c>
      <c r="K485" s="1">
        <f>Tabla1[[#This Row],[cantidad]]*Tabla1[[#This Row],[precio_unitario]]</f>
        <v>3007221</v>
      </c>
      <c r="L485" s="1">
        <f>Tabla1[[#This Row],[cantidad]]*Tabla1[[#This Row],[costo_unitario]]</f>
        <v>2255415</v>
      </c>
      <c r="M485" s="1">
        <f>Tabla1[[#This Row],[venta_total]]-Tabla1[[#This Row],[costo_total]]</f>
        <v>751806</v>
      </c>
      <c r="N485" s="3">
        <f>Tabla1[[#This Row],[margen]]/Tabla1[[#This Row],[venta_total]]</f>
        <v>0.25000024939969495</v>
      </c>
    </row>
    <row r="486" spans="1:14" x14ac:dyDescent="0.25">
      <c r="A486" s="2">
        <v>45457</v>
      </c>
      <c r="B486" t="s">
        <v>18</v>
      </c>
      <c r="C486" t="s">
        <v>11</v>
      </c>
      <c r="D486" t="s">
        <v>12</v>
      </c>
      <c r="E486" t="s">
        <v>20</v>
      </c>
      <c r="F486" t="s">
        <v>37</v>
      </c>
      <c r="G486">
        <v>1</v>
      </c>
      <c r="H486" s="1">
        <v>2760442</v>
      </c>
      <c r="I486" s="1">
        <v>2070331</v>
      </c>
      <c r="J486" t="s">
        <v>29</v>
      </c>
      <c r="K486" s="1">
        <f>Tabla1[[#This Row],[cantidad]]*Tabla1[[#This Row],[precio_unitario]]</f>
        <v>2760442</v>
      </c>
      <c r="L486" s="1">
        <f>Tabla1[[#This Row],[cantidad]]*Tabla1[[#This Row],[costo_unitario]]</f>
        <v>2070331</v>
      </c>
      <c r="M486" s="1">
        <f>Tabla1[[#This Row],[venta_total]]-Tabla1[[#This Row],[costo_total]]</f>
        <v>690111</v>
      </c>
      <c r="N486" s="3">
        <f>Tabla1[[#This Row],[margen]]/Tabla1[[#This Row],[venta_total]]</f>
        <v>0.25000018113041317</v>
      </c>
    </row>
    <row r="487" spans="1:14" x14ac:dyDescent="0.25">
      <c r="A487" s="2">
        <v>45322</v>
      </c>
      <c r="B487" t="s">
        <v>10</v>
      </c>
      <c r="C487" t="s">
        <v>11</v>
      </c>
      <c r="D487" t="s">
        <v>23</v>
      </c>
      <c r="E487" t="s">
        <v>16</v>
      </c>
      <c r="F487" t="s">
        <v>24</v>
      </c>
      <c r="G487">
        <v>1</v>
      </c>
      <c r="H487" s="1">
        <v>1986804</v>
      </c>
      <c r="I487" s="1">
        <v>1490103</v>
      </c>
      <c r="J487" t="s">
        <v>25</v>
      </c>
      <c r="K487" s="1">
        <f>Tabla1[[#This Row],[cantidad]]*Tabla1[[#This Row],[precio_unitario]]</f>
        <v>1986804</v>
      </c>
      <c r="L487" s="1">
        <f>Tabla1[[#This Row],[cantidad]]*Tabla1[[#This Row],[costo_unitario]]</f>
        <v>1490103</v>
      </c>
      <c r="M487" s="1">
        <f>Tabla1[[#This Row],[venta_total]]-Tabla1[[#This Row],[costo_total]]</f>
        <v>496701</v>
      </c>
      <c r="N487" s="3">
        <f>Tabla1[[#This Row],[margen]]/Tabla1[[#This Row],[venta_total]]</f>
        <v>0.25</v>
      </c>
    </row>
    <row r="488" spans="1:14" x14ac:dyDescent="0.25">
      <c r="A488" s="2">
        <v>45422</v>
      </c>
      <c r="B488" t="s">
        <v>18</v>
      </c>
      <c r="C488" t="s">
        <v>11</v>
      </c>
      <c r="D488" t="s">
        <v>38</v>
      </c>
      <c r="E488" t="s">
        <v>13</v>
      </c>
      <c r="F488" t="s">
        <v>41</v>
      </c>
      <c r="G488">
        <v>1</v>
      </c>
      <c r="H488" s="1">
        <v>8418379</v>
      </c>
      <c r="I488" s="1">
        <v>6734703</v>
      </c>
      <c r="J488" t="s">
        <v>25</v>
      </c>
      <c r="K488" s="1">
        <f>Tabla1[[#This Row],[cantidad]]*Tabla1[[#This Row],[precio_unitario]]</f>
        <v>8418379</v>
      </c>
      <c r="L488" s="1">
        <f>Tabla1[[#This Row],[cantidad]]*Tabla1[[#This Row],[costo_unitario]]</f>
        <v>6734703</v>
      </c>
      <c r="M488" s="1">
        <f>Tabla1[[#This Row],[venta_total]]-Tabla1[[#This Row],[costo_total]]</f>
        <v>1683676</v>
      </c>
      <c r="N488" s="3">
        <f>Tabla1[[#This Row],[margen]]/Tabla1[[#This Row],[venta_total]]</f>
        <v>0.20000002375754286</v>
      </c>
    </row>
    <row r="489" spans="1:14" x14ac:dyDescent="0.25">
      <c r="A489" s="2">
        <v>45407</v>
      </c>
      <c r="B489" t="s">
        <v>32</v>
      </c>
      <c r="C489" t="s">
        <v>11</v>
      </c>
      <c r="D489" t="s">
        <v>38</v>
      </c>
      <c r="E489" t="s">
        <v>20</v>
      </c>
      <c r="F489" t="s">
        <v>42</v>
      </c>
      <c r="G489">
        <v>1</v>
      </c>
      <c r="H489" s="1">
        <v>2939004</v>
      </c>
      <c r="I489" s="1">
        <v>2116082</v>
      </c>
      <c r="J489" t="s">
        <v>29</v>
      </c>
      <c r="K489" s="1">
        <f>Tabla1[[#This Row],[cantidad]]*Tabla1[[#This Row],[precio_unitario]]</f>
        <v>2939004</v>
      </c>
      <c r="L489" s="1">
        <f>Tabla1[[#This Row],[cantidad]]*Tabla1[[#This Row],[costo_unitario]]</f>
        <v>2116082</v>
      </c>
      <c r="M489" s="1">
        <f>Tabla1[[#This Row],[venta_total]]-Tabla1[[#This Row],[costo_total]]</f>
        <v>822922</v>
      </c>
      <c r="N489" s="3">
        <f>Tabla1[[#This Row],[margen]]/Tabla1[[#This Row],[venta_total]]</f>
        <v>0.28000029942116444</v>
      </c>
    </row>
    <row r="490" spans="1:14" x14ac:dyDescent="0.25">
      <c r="A490" s="2">
        <v>45370</v>
      </c>
      <c r="B490" t="s">
        <v>18</v>
      </c>
      <c r="C490" t="s">
        <v>11</v>
      </c>
      <c r="D490" t="s">
        <v>26</v>
      </c>
      <c r="E490" t="s">
        <v>13</v>
      </c>
      <c r="F490" t="s">
        <v>27</v>
      </c>
      <c r="G490">
        <v>1</v>
      </c>
      <c r="H490" s="1">
        <v>5513899</v>
      </c>
      <c r="I490" s="1">
        <v>4411119</v>
      </c>
      <c r="J490" t="s">
        <v>29</v>
      </c>
      <c r="K490" s="1">
        <f>Tabla1[[#This Row],[cantidad]]*Tabla1[[#This Row],[precio_unitario]]</f>
        <v>5513899</v>
      </c>
      <c r="L490" s="1">
        <f>Tabla1[[#This Row],[cantidad]]*Tabla1[[#This Row],[costo_unitario]]</f>
        <v>4411119</v>
      </c>
      <c r="M490" s="1">
        <f>Tabla1[[#This Row],[venta_total]]-Tabla1[[#This Row],[costo_total]]</f>
        <v>1102780</v>
      </c>
      <c r="N490" s="3">
        <f>Tabla1[[#This Row],[margen]]/Tabla1[[#This Row],[venta_total]]</f>
        <v>0.2000000362719738</v>
      </c>
    </row>
    <row r="491" spans="1:14" x14ac:dyDescent="0.25">
      <c r="A491" s="2">
        <v>45326</v>
      </c>
      <c r="B491" t="s">
        <v>34</v>
      </c>
      <c r="C491" t="s">
        <v>11</v>
      </c>
      <c r="D491" t="s">
        <v>19</v>
      </c>
      <c r="E491" t="s">
        <v>13</v>
      </c>
      <c r="F491" t="s">
        <v>33</v>
      </c>
      <c r="G491">
        <v>1</v>
      </c>
      <c r="H491" s="1">
        <v>1210298</v>
      </c>
      <c r="I491" s="1">
        <v>847208</v>
      </c>
      <c r="J491" t="s">
        <v>15</v>
      </c>
      <c r="K491" s="1">
        <f>Tabla1[[#This Row],[cantidad]]*Tabla1[[#This Row],[precio_unitario]]</f>
        <v>1210298</v>
      </c>
      <c r="L491" s="1">
        <f>Tabla1[[#This Row],[cantidad]]*Tabla1[[#This Row],[costo_unitario]]</f>
        <v>847208</v>
      </c>
      <c r="M491" s="1">
        <f>Tabla1[[#This Row],[venta_total]]-Tabla1[[#This Row],[costo_total]]</f>
        <v>363090</v>
      </c>
      <c r="N491" s="3">
        <f>Tabla1[[#This Row],[margen]]/Tabla1[[#This Row],[venta_total]]</f>
        <v>0.30000049574567583</v>
      </c>
    </row>
    <row r="492" spans="1:14" x14ac:dyDescent="0.25">
      <c r="A492" s="2">
        <v>45292</v>
      </c>
      <c r="B492" t="s">
        <v>18</v>
      </c>
      <c r="C492" t="s">
        <v>11</v>
      </c>
      <c r="D492" t="s">
        <v>12</v>
      </c>
      <c r="E492" t="s">
        <v>13</v>
      </c>
      <c r="F492" t="s">
        <v>14</v>
      </c>
      <c r="G492">
        <v>1</v>
      </c>
      <c r="H492" s="1">
        <v>4185319</v>
      </c>
      <c r="I492" s="1">
        <v>3348255</v>
      </c>
      <c r="J492" t="s">
        <v>29</v>
      </c>
      <c r="K492" s="1">
        <f>Tabla1[[#This Row],[cantidad]]*Tabla1[[#This Row],[precio_unitario]]</f>
        <v>4185319</v>
      </c>
      <c r="L492" s="1">
        <f>Tabla1[[#This Row],[cantidad]]*Tabla1[[#This Row],[costo_unitario]]</f>
        <v>3348255</v>
      </c>
      <c r="M492" s="1">
        <f>Tabla1[[#This Row],[venta_total]]-Tabla1[[#This Row],[costo_total]]</f>
        <v>837064</v>
      </c>
      <c r="N492" s="3">
        <f>Tabla1[[#This Row],[margen]]/Tabla1[[#This Row],[venta_total]]</f>
        <v>0.20000004778608274</v>
      </c>
    </row>
    <row r="493" spans="1:14" x14ac:dyDescent="0.25">
      <c r="A493" s="2">
        <v>45410</v>
      </c>
      <c r="B493" t="s">
        <v>34</v>
      </c>
      <c r="C493" t="s">
        <v>11</v>
      </c>
      <c r="D493" t="s">
        <v>23</v>
      </c>
      <c r="E493" t="s">
        <v>16</v>
      </c>
      <c r="F493" t="s">
        <v>24</v>
      </c>
      <c r="G493">
        <v>1</v>
      </c>
      <c r="H493" s="1">
        <v>1577615</v>
      </c>
      <c r="I493" s="1">
        <v>1183211</v>
      </c>
      <c r="J493" t="s">
        <v>22</v>
      </c>
      <c r="K493" s="1">
        <f>Tabla1[[#This Row],[cantidad]]*Tabla1[[#This Row],[precio_unitario]]</f>
        <v>1577615</v>
      </c>
      <c r="L493" s="1">
        <f>Tabla1[[#This Row],[cantidad]]*Tabla1[[#This Row],[costo_unitario]]</f>
        <v>1183211</v>
      </c>
      <c r="M493" s="1">
        <f>Tabla1[[#This Row],[venta_total]]-Tabla1[[#This Row],[costo_total]]</f>
        <v>394404</v>
      </c>
      <c r="N493" s="3">
        <f>Tabla1[[#This Row],[margen]]/Tabla1[[#This Row],[venta_total]]</f>
        <v>0.25000015846705309</v>
      </c>
    </row>
    <row r="494" spans="1:14" x14ac:dyDescent="0.25">
      <c r="A494" s="2">
        <v>45471</v>
      </c>
      <c r="B494" t="s">
        <v>32</v>
      </c>
      <c r="C494" t="s">
        <v>11</v>
      </c>
      <c r="D494" t="s">
        <v>38</v>
      </c>
      <c r="E494" t="s">
        <v>20</v>
      </c>
      <c r="F494" t="s">
        <v>42</v>
      </c>
      <c r="G494">
        <v>1</v>
      </c>
      <c r="H494" s="1">
        <v>3356182</v>
      </c>
      <c r="I494" s="1">
        <v>2416451</v>
      </c>
      <c r="J494" t="s">
        <v>22</v>
      </c>
      <c r="K494" s="1">
        <f>Tabla1[[#This Row],[cantidad]]*Tabla1[[#This Row],[precio_unitario]]</f>
        <v>3356182</v>
      </c>
      <c r="L494" s="1">
        <f>Tabla1[[#This Row],[cantidad]]*Tabla1[[#This Row],[costo_unitario]]</f>
        <v>2416451</v>
      </c>
      <c r="M494" s="1">
        <f>Tabla1[[#This Row],[venta_total]]-Tabla1[[#This Row],[costo_total]]</f>
        <v>939731</v>
      </c>
      <c r="N494" s="3">
        <f>Tabla1[[#This Row],[margen]]/Tabla1[[#This Row],[venta_total]]</f>
        <v>0.28000001191830481</v>
      </c>
    </row>
    <row r="495" spans="1:14" x14ac:dyDescent="0.25">
      <c r="A495" s="2">
        <v>45373</v>
      </c>
      <c r="B495" t="s">
        <v>34</v>
      </c>
      <c r="C495" t="s">
        <v>11</v>
      </c>
      <c r="D495" t="s">
        <v>38</v>
      </c>
      <c r="E495" t="s">
        <v>16</v>
      </c>
      <c r="F495" t="s">
        <v>39</v>
      </c>
      <c r="G495">
        <v>1</v>
      </c>
      <c r="H495" s="1">
        <v>5243714</v>
      </c>
      <c r="I495" s="1">
        <v>3932785</v>
      </c>
      <c r="J495" t="s">
        <v>15</v>
      </c>
      <c r="K495" s="1">
        <f>Tabla1[[#This Row],[cantidad]]*Tabla1[[#This Row],[precio_unitario]]</f>
        <v>5243714</v>
      </c>
      <c r="L495" s="1">
        <f>Tabla1[[#This Row],[cantidad]]*Tabla1[[#This Row],[costo_unitario]]</f>
        <v>3932785</v>
      </c>
      <c r="M495" s="1">
        <f>Tabla1[[#This Row],[venta_total]]-Tabla1[[#This Row],[costo_total]]</f>
        <v>1310929</v>
      </c>
      <c r="N495" s="3">
        <f>Tabla1[[#This Row],[margen]]/Tabla1[[#This Row],[venta_total]]</f>
        <v>0.2500000953522637</v>
      </c>
    </row>
    <row r="496" spans="1:14" x14ac:dyDescent="0.25">
      <c r="A496" s="2">
        <v>45395</v>
      </c>
      <c r="B496" t="s">
        <v>34</v>
      </c>
      <c r="C496" t="s">
        <v>11</v>
      </c>
      <c r="D496" t="s">
        <v>38</v>
      </c>
      <c r="E496" t="s">
        <v>20</v>
      </c>
      <c r="F496" t="s">
        <v>42</v>
      </c>
      <c r="G496">
        <v>1</v>
      </c>
      <c r="H496" s="1">
        <v>3258919</v>
      </c>
      <c r="I496" s="1">
        <v>2346421</v>
      </c>
      <c r="J496" t="s">
        <v>25</v>
      </c>
      <c r="K496" s="1">
        <f>Tabla1[[#This Row],[cantidad]]*Tabla1[[#This Row],[precio_unitario]]</f>
        <v>3258919</v>
      </c>
      <c r="L496" s="1">
        <f>Tabla1[[#This Row],[cantidad]]*Tabla1[[#This Row],[costo_unitario]]</f>
        <v>2346421</v>
      </c>
      <c r="M496" s="1">
        <f>Tabla1[[#This Row],[venta_total]]-Tabla1[[#This Row],[costo_total]]</f>
        <v>912498</v>
      </c>
      <c r="N496" s="3">
        <f>Tabla1[[#This Row],[margen]]/Tabla1[[#This Row],[venta_total]]</f>
        <v>0.28000020865814707</v>
      </c>
    </row>
    <row r="497" spans="1:14" x14ac:dyDescent="0.25">
      <c r="A497" s="2">
        <v>45354</v>
      </c>
      <c r="B497" t="s">
        <v>32</v>
      </c>
      <c r="C497" t="s">
        <v>11</v>
      </c>
      <c r="D497" t="s">
        <v>23</v>
      </c>
      <c r="E497" t="s">
        <v>20</v>
      </c>
      <c r="F497" t="s">
        <v>30</v>
      </c>
      <c r="G497">
        <v>1</v>
      </c>
      <c r="H497" s="1">
        <v>985986</v>
      </c>
      <c r="I497" s="1">
        <v>690190</v>
      </c>
      <c r="J497" t="s">
        <v>31</v>
      </c>
      <c r="K497" s="1">
        <f>Tabla1[[#This Row],[cantidad]]*Tabla1[[#This Row],[precio_unitario]]</f>
        <v>985986</v>
      </c>
      <c r="L497" s="1">
        <f>Tabla1[[#This Row],[cantidad]]*Tabla1[[#This Row],[costo_unitario]]</f>
        <v>690190</v>
      </c>
      <c r="M497" s="1">
        <f>Tabla1[[#This Row],[venta_total]]-Tabla1[[#This Row],[costo_total]]</f>
        <v>295796</v>
      </c>
      <c r="N497" s="3">
        <f>Tabla1[[#This Row],[margen]]/Tabla1[[#This Row],[venta_total]]</f>
        <v>0.30000020284263673</v>
      </c>
    </row>
    <row r="498" spans="1:14" x14ac:dyDescent="0.25">
      <c r="A498" s="2">
        <v>45329</v>
      </c>
      <c r="B498" t="s">
        <v>10</v>
      </c>
      <c r="C498" t="s">
        <v>11</v>
      </c>
      <c r="D498" t="s">
        <v>12</v>
      </c>
      <c r="E498" t="s">
        <v>16</v>
      </c>
      <c r="F498" t="s">
        <v>17</v>
      </c>
      <c r="G498">
        <v>1</v>
      </c>
      <c r="H498" s="1">
        <v>3430270</v>
      </c>
      <c r="I498" s="1">
        <v>2675610</v>
      </c>
      <c r="J498" t="s">
        <v>25</v>
      </c>
      <c r="K498" s="1">
        <f>Tabla1[[#This Row],[cantidad]]*Tabla1[[#This Row],[precio_unitario]]</f>
        <v>3430270</v>
      </c>
      <c r="L498" s="1">
        <f>Tabla1[[#This Row],[cantidad]]*Tabla1[[#This Row],[costo_unitario]]</f>
        <v>2675610</v>
      </c>
      <c r="M498" s="1">
        <f>Tabla1[[#This Row],[venta_total]]-Tabla1[[#This Row],[costo_total]]</f>
        <v>754660</v>
      </c>
      <c r="N498" s="3">
        <f>Tabla1[[#This Row],[margen]]/Tabla1[[#This Row],[venta_total]]</f>
        <v>0.220000174913345</v>
      </c>
    </row>
    <row r="499" spans="1:14" x14ac:dyDescent="0.25">
      <c r="A499" s="2">
        <v>45419</v>
      </c>
      <c r="B499" t="s">
        <v>32</v>
      </c>
      <c r="C499" t="s">
        <v>11</v>
      </c>
      <c r="D499" t="s">
        <v>38</v>
      </c>
      <c r="E499" t="s">
        <v>16</v>
      </c>
      <c r="F499" t="s">
        <v>39</v>
      </c>
      <c r="G499">
        <v>1</v>
      </c>
      <c r="H499" s="1">
        <v>5843701</v>
      </c>
      <c r="I499" s="1">
        <v>4382775</v>
      </c>
      <c r="J499" t="s">
        <v>31</v>
      </c>
      <c r="K499" s="1">
        <f>Tabla1[[#This Row],[cantidad]]*Tabla1[[#This Row],[precio_unitario]]</f>
        <v>5843701</v>
      </c>
      <c r="L499" s="1">
        <f>Tabla1[[#This Row],[cantidad]]*Tabla1[[#This Row],[costo_unitario]]</f>
        <v>4382775</v>
      </c>
      <c r="M499" s="1">
        <f>Tabla1[[#This Row],[venta_total]]-Tabla1[[#This Row],[costo_total]]</f>
        <v>1460926</v>
      </c>
      <c r="N499" s="3">
        <f>Tabla1[[#This Row],[margen]]/Tabla1[[#This Row],[venta_total]]</f>
        <v>0.25000012834332214</v>
      </c>
    </row>
    <row r="500" spans="1:14" x14ac:dyDescent="0.25">
      <c r="A500" s="2">
        <v>45347</v>
      </c>
      <c r="B500" t="s">
        <v>10</v>
      </c>
      <c r="C500" t="s">
        <v>11</v>
      </c>
      <c r="D500" t="s">
        <v>38</v>
      </c>
      <c r="E500" t="s">
        <v>16</v>
      </c>
      <c r="F500" t="s">
        <v>39</v>
      </c>
      <c r="G500">
        <v>1</v>
      </c>
      <c r="H500" s="1">
        <v>3788417</v>
      </c>
      <c r="I500" s="1">
        <v>2841312</v>
      </c>
      <c r="J500" t="s">
        <v>15</v>
      </c>
      <c r="K500" s="1">
        <f>Tabla1[[#This Row],[cantidad]]*Tabla1[[#This Row],[precio_unitario]]</f>
        <v>3788417</v>
      </c>
      <c r="L500" s="1">
        <f>Tabla1[[#This Row],[cantidad]]*Tabla1[[#This Row],[costo_unitario]]</f>
        <v>2841312</v>
      </c>
      <c r="M500" s="1">
        <f>Tabla1[[#This Row],[venta_total]]-Tabla1[[#This Row],[costo_total]]</f>
        <v>947105</v>
      </c>
      <c r="N500" s="3">
        <f>Tabla1[[#This Row],[margen]]/Tabla1[[#This Row],[venta_total]]</f>
        <v>0.25000019797187056</v>
      </c>
    </row>
    <row r="501" spans="1:14" x14ac:dyDescent="0.25">
      <c r="A501" s="2">
        <v>45378</v>
      </c>
      <c r="B501" t="s">
        <v>10</v>
      </c>
      <c r="C501" t="s">
        <v>11</v>
      </c>
      <c r="D501" t="s">
        <v>19</v>
      </c>
      <c r="E501" t="s">
        <v>13</v>
      </c>
      <c r="F501" t="s">
        <v>33</v>
      </c>
      <c r="G501">
        <v>3</v>
      </c>
      <c r="H501" s="1">
        <v>1678701</v>
      </c>
      <c r="I501" s="1">
        <v>1175090</v>
      </c>
      <c r="J501" t="s">
        <v>31</v>
      </c>
      <c r="K501" s="1">
        <f>Tabla1[[#This Row],[cantidad]]*Tabla1[[#This Row],[precio_unitario]]</f>
        <v>5036103</v>
      </c>
      <c r="L501" s="1">
        <f>Tabla1[[#This Row],[cantidad]]*Tabla1[[#This Row],[costo_unitario]]</f>
        <v>3525270</v>
      </c>
      <c r="M501" s="1">
        <f>Tabla1[[#This Row],[venta_total]]-Tabla1[[#This Row],[costo_total]]</f>
        <v>1510833</v>
      </c>
      <c r="N501" s="3">
        <f>Tabla1[[#This Row],[margen]]/Tabla1[[#This Row],[venta_total]]</f>
        <v>0.30000041698908858</v>
      </c>
    </row>
    <row r="502" spans="1:14" x14ac:dyDescent="0.25">
      <c r="A502" s="2">
        <v>45314</v>
      </c>
      <c r="B502" t="s">
        <v>34</v>
      </c>
      <c r="C502" t="s">
        <v>11</v>
      </c>
      <c r="D502" t="s">
        <v>26</v>
      </c>
      <c r="E502" t="s">
        <v>20</v>
      </c>
      <c r="F502" t="s">
        <v>36</v>
      </c>
      <c r="G502">
        <v>1</v>
      </c>
      <c r="H502" s="1">
        <v>2648926</v>
      </c>
      <c r="I502" s="1">
        <v>1986694</v>
      </c>
      <c r="J502" t="s">
        <v>29</v>
      </c>
      <c r="K502" s="1">
        <f>Tabla1[[#This Row],[cantidad]]*Tabla1[[#This Row],[precio_unitario]]</f>
        <v>2648926</v>
      </c>
      <c r="L502" s="1">
        <f>Tabla1[[#This Row],[cantidad]]*Tabla1[[#This Row],[costo_unitario]]</f>
        <v>1986694</v>
      </c>
      <c r="M502" s="1">
        <f>Tabla1[[#This Row],[venta_total]]-Tabla1[[#This Row],[costo_total]]</f>
        <v>662232</v>
      </c>
      <c r="N502" s="3">
        <f>Tabla1[[#This Row],[margen]]/Tabla1[[#This Row],[venta_total]]</f>
        <v>0.25000018875574476</v>
      </c>
    </row>
    <row r="503" spans="1:14" x14ac:dyDescent="0.25">
      <c r="A503" s="2">
        <v>45404</v>
      </c>
      <c r="B503" t="s">
        <v>32</v>
      </c>
      <c r="C503" t="s">
        <v>11</v>
      </c>
      <c r="D503" t="s">
        <v>19</v>
      </c>
      <c r="E503" t="s">
        <v>20</v>
      </c>
      <c r="F503" t="s">
        <v>21</v>
      </c>
      <c r="G503">
        <v>2</v>
      </c>
      <c r="H503" s="1">
        <v>413435</v>
      </c>
      <c r="I503" s="1">
        <v>248061</v>
      </c>
      <c r="J503" t="s">
        <v>22</v>
      </c>
      <c r="K503" s="1">
        <f>Tabla1[[#This Row],[cantidad]]*Tabla1[[#This Row],[precio_unitario]]</f>
        <v>826870</v>
      </c>
      <c r="L503" s="1">
        <f>Tabla1[[#This Row],[cantidad]]*Tabla1[[#This Row],[costo_unitario]]</f>
        <v>496122</v>
      </c>
      <c r="M503" s="1">
        <f>Tabla1[[#This Row],[venta_total]]-Tabla1[[#This Row],[costo_total]]</f>
        <v>330748</v>
      </c>
      <c r="N503" s="3">
        <f>Tabla1[[#This Row],[margen]]/Tabla1[[#This Row],[venta_total]]</f>
        <v>0.4</v>
      </c>
    </row>
    <row r="504" spans="1:14" x14ac:dyDescent="0.25">
      <c r="A504" s="2">
        <v>45295</v>
      </c>
      <c r="B504" t="s">
        <v>10</v>
      </c>
      <c r="C504" t="s">
        <v>11</v>
      </c>
      <c r="D504" t="s">
        <v>19</v>
      </c>
      <c r="E504" t="s">
        <v>16</v>
      </c>
      <c r="F504" t="s">
        <v>35</v>
      </c>
      <c r="G504">
        <v>2</v>
      </c>
      <c r="H504" s="1">
        <v>1070874</v>
      </c>
      <c r="I504" s="1">
        <v>696068</v>
      </c>
      <c r="J504" t="s">
        <v>25</v>
      </c>
      <c r="K504" s="1">
        <f>Tabla1[[#This Row],[cantidad]]*Tabla1[[#This Row],[precio_unitario]]</f>
        <v>2141748</v>
      </c>
      <c r="L504" s="1">
        <f>Tabla1[[#This Row],[cantidad]]*Tabla1[[#This Row],[costo_unitario]]</f>
        <v>1392136</v>
      </c>
      <c r="M504" s="1">
        <f>Tabla1[[#This Row],[venta_total]]-Tabla1[[#This Row],[costo_total]]</f>
        <v>749612</v>
      </c>
      <c r="N504" s="3">
        <f>Tabla1[[#This Row],[margen]]/Tabla1[[#This Row],[venta_total]]</f>
        <v>0.35000009338166771</v>
      </c>
    </row>
    <row r="505" spans="1:14" x14ac:dyDescent="0.25">
      <c r="A505" s="2">
        <v>45362</v>
      </c>
      <c r="B505" t="s">
        <v>34</v>
      </c>
      <c r="C505" t="s">
        <v>11</v>
      </c>
      <c r="D505" t="s">
        <v>38</v>
      </c>
      <c r="E505" t="s">
        <v>13</v>
      </c>
      <c r="F505" t="s">
        <v>41</v>
      </c>
      <c r="G505">
        <v>1</v>
      </c>
      <c r="H505" s="1">
        <v>7658632</v>
      </c>
      <c r="I505" s="1">
        <v>6126905</v>
      </c>
      <c r="J505" t="s">
        <v>29</v>
      </c>
      <c r="K505" s="1">
        <f>Tabla1[[#This Row],[cantidad]]*Tabla1[[#This Row],[precio_unitario]]</f>
        <v>7658632</v>
      </c>
      <c r="L505" s="1">
        <f>Tabla1[[#This Row],[cantidad]]*Tabla1[[#This Row],[costo_unitario]]</f>
        <v>6126905</v>
      </c>
      <c r="M505" s="1">
        <f>Tabla1[[#This Row],[venta_total]]-Tabla1[[#This Row],[costo_total]]</f>
        <v>1531727</v>
      </c>
      <c r="N505" s="3">
        <f>Tabla1[[#This Row],[margen]]/Tabla1[[#This Row],[venta_total]]</f>
        <v>0.20000007834297301</v>
      </c>
    </row>
    <row r="506" spans="1:14" x14ac:dyDescent="0.25">
      <c r="A506" s="2">
        <v>45443</v>
      </c>
      <c r="B506" t="s">
        <v>10</v>
      </c>
      <c r="C506" t="s">
        <v>11</v>
      </c>
      <c r="D506" t="s">
        <v>23</v>
      </c>
      <c r="E506" t="s">
        <v>13</v>
      </c>
      <c r="F506" t="s">
        <v>28</v>
      </c>
      <c r="G506">
        <v>1</v>
      </c>
      <c r="H506" s="1">
        <v>3177157</v>
      </c>
      <c r="I506" s="1">
        <v>2541725</v>
      </c>
      <c r="J506" t="s">
        <v>25</v>
      </c>
      <c r="K506" s="1">
        <f>Tabla1[[#This Row],[cantidad]]*Tabla1[[#This Row],[precio_unitario]]</f>
        <v>3177157</v>
      </c>
      <c r="L506" s="1">
        <f>Tabla1[[#This Row],[cantidad]]*Tabla1[[#This Row],[costo_unitario]]</f>
        <v>2541725</v>
      </c>
      <c r="M506" s="1">
        <f>Tabla1[[#This Row],[venta_total]]-Tabla1[[#This Row],[costo_total]]</f>
        <v>635432</v>
      </c>
      <c r="N506" s="3">
        <f>Tabla1[[#This Row],[margen]]/Tabla1[[#This Row],[venta_total]]</f>
        <v>0.20000018884808021</v>
      </c>
    </row>
    <row r="507" spans="1:14" x14ac:dyDescent="0.25">
      <c r="A507" s="2">
        <v>45382</v>
      </c>
      <c r="B507" t="s">
        <v>10</v>
      </c>
      <c r="C507" t="s">
        <v>11</v>
      </c>
      <c r="D507" t="s">
        <v>23</v>
      </c>
      <c r="E507" t="s">
        <v>20</v>
      </c>
      <c r="F507" t="s">
        <v>30</v>
      </c>
      <c r="G507">
        <v>1</v>
      </c>
      <c r="H507" s="1">
        <v>871195</v>
      </c>
      <c r="I507" s="1">
        <v>609836</v>
      </c>
      <c r="J507" t="s">
        <v>29</v>
      </c>
      <c r="K507" s="1">
        <f>Tabla1[[#This Row],[cantidad]]*Tabla1[[#This Row],[precio_unitario]]</f>
        <v>871195</v>
      </c>
      <c r="L507" s="1">
        <f>Tabla1[[#This Row],[cantidad]]*Tabla1[[#This Row],[costo_unitario]]</f>
        <v>609836</v>
      </c>
      <c r="M507" s="1">
        <f>Tabla1[[#This Row],[venta_total]]-Tabla1[[#This Row],[costo_total]]</f>
        <v>261359</v>
      </c>
      <c r="N507" s="3">
        <f>Tabla1[[#This Row],[margen]]/Tabla1[[#This Row],[venta_total]]</f>
        <v>0.30000057392432233</v>
      </c>
    </row>
    <row r="508" spans="1:14" x14ac:dyDescent="0.25">
      <c r="A508" s="2">
        <v>45334</v>
      </c>
      <c r="B508" t="s">
        <v>18</v>
      </c>
      <c r="C508" t="s">
        <v>11</v>
      </c>
      <c r="D508" t="s">
        <v>19</v>
      </c>
      <c r="E508" t="s">
        <v>20</v>
      </c>
      <c r="F508" t="s">
        <v>21</v>
      </c>
      <c r="G508">
        <v>3</v>
      </c>
      <c r="H508" s="1">
        <v>322473</v>
      </c>
      <c r="I508" s="1">
        <v>193483</v>
      </c>
      <c r="J508" t="s">
        <v>29</v>
      </c>
      <c r="K508" s="1">
        <f>Tabla1[[#This Row],[cantidad]]*Tabla1[[#This Row],[precio_unitario]]</f>
        <v>967419</v>
      </c>
      <c r="L508" s="1">
        <f>Tabla1[[#This Row],[cantidad]]*Tabla1[[#This Row],[costo_unitario]]</f>
        <v>580449</v>
      </c>
      <c r="M508" s="1">
        <f>Tabla1[[#This Row],[venta_total]]-Tabla1[[#This Row],[costo_total]]</f>
        <v>386970</v>
      </c>
      <c r="N508" s="3">
        <f>Tabla1[[#This Row],[margen]]/Tabla1[[#This Row],[venta_total]]</f>
        <v>0.40000248082785228</v>
      </c>
    </row>
    <row r="509" spans="1:14" x14ac:dyDescent="0.25">
      <c r="A509" s="2">
        <v>45416</v>
      </c>
      <c r="B509" t="s">
        <v>18</v>
      </c>
      <c r="C509" t="s">
        <v>11</v>
      </c>
      <c r="D509" t="s">
        <v>23</v>
      </c>
      <c r="E509" t="s">
        <v>16</v>
      </c>
      <c r="F509" t="s">
        <v>24</v>
      </c>
      <c r="G509">
        <v>1</v>
      </c>
      <c r="H509" s="1">
        <v>1390858</v>
      </c>
      <c r="I509" s="1">
        <v>1043143</v>
      </c>
      <c r="J509" t="s">
        <v>25</v>
      </c>
      <c r="K509" s="1">
        <f>Tabla1[[#This Row],[cantidad]]*Tabla1[[#This Row],[precio_unitario]]</f>
        <v>1390858</v>
      </c>
      <c r="L509" s="1">
        <f>Tabla1[[#This Row],[cantidad]]*Tabla1[[#This Row],[costo_unitario]]</f>
        <v>1043143</v>
      </c>
      <c r="M509" s="1">
        <f>Tabla1[[#This Row],[venta_total]]-Tabla1[[#This Row],[costo_total]]</f>
        <v>347715</v>
      </c>
      <c r="N509" s="3">
        <f>Tabla1[[#This Row],[margen]]/Tabla1[[#This Row],[venta_total]]</f>
        <v>0.250000359490329</v>
      </c>
    </row>
    <row r="510" spans="1:14" x14ac:dyDescent="0.25">
      <c r="A510" s="2">
        <v>45449</v>
      </c>
      <c r="B510" t="s">
        <v>18</v>
      </c>
      <c r="C510" t="s">
        <v>11</v>
      </c>
      <c r="D510" t="s">
        <v>19</v>
      </c>
      <c r="E510" t="s">
        <v>16</v>
      </c>
      <c r="F510" t="s">
        <v>35</v>
      </c>
      <c r="G510">
        <v>3</v>
      </c>
      <c r="H510" s="1">
        <v>1171530</v>
      </c>
      <c r="I510" s="1">
        <v>761494</v>
      </c>
      <c r="J510" t="s">
        <v>22</v>
      </c>
      <c r="K510" s="1">
        <f>Tabla1[[#This Row],[cantidad]]*Tabla1[[#This Row],[precio_unitario]]</f>
        <v>3514590</v>
      </c>
      <c r="L510" s="1">
        <f>Tabla1[[#This Row],[cantidad]]*Tabla1[[#This Row],[costo_unitario]]</f>
        <v>2284482</v>
      </c>
      <c r="M510" s="1">
        <f>Tabla1[[#This Row],[venta_total]]-Tabla1[[#This Row],[costo_total]]</f>
        <v>1230108</v>
      </c>
      <c r="N510" s="3">
        <f>Tabla1[[#This Row],[margen]]/Tabla1[[#This Row],[venta_total]]</f>
        <v>0.3500004267923143</v>
      </c>
    </row>
    <row r="511" spans="1:14" x14ac:dyDescent="0.25">
      <c r="A511" s="2">
        <v>45348</v>
      </c>
      <c r="B511" t="s">
        <v>10</v>
      </c>
      <c r="C511" t="s">
        <v>11</v>
      </c>
      <c r="D511" t="s">
        <v>26</v>
      </c>
      <c r="E511" t="s">
        <v>20</v>
      </c>
      <c r="F511" t="s">
        <v>36</v>
      </c>
      <c r="G511">
        <v>1</v>
      </c>
      <c r="H511" s="1">
        <v>2579992</v>
      </c>
      <c r="I511" s="1">
        <v>1934994</v>
      </c>
      <c r="J511" t="s">
        <v>15</v>
      </c>
      <c r="K511" s="1">
        <f>Tabla1[[#This Row],[cantidad]]*Tabla1[[#This Row],[precio_unitario]]</f>
        <v>2579992</v>
      </c>
      <c r="L511" s="1">
        <f>Tabla1[[#This Row],[cantidad]]*Tabla1[[#This Row],[costo_unitario]]</f>
        <v>1934994</v>
      </c>
      <c r="M511" s="1">
        <f>Tabla1[[#This Row],[venta_total]]-Tabla1[[#This Row],[costo_total]]</f>
        <v>644998</v>
      </c>
      <c r="N511" s="3">
        <f>Tabla1[[#This Row],[margen]]/Tabla1[[#This Row],[venta_total]]</f>
        <v>0.25</v>
      </c>
    </row>
    <row r="512" spans="1:14" x14ac:dyDescent="0.25">
      <c r="A512" s="2">
        <v>45336</v>
      </c>
      <c r="B512" t="s">
        <v>34</v>
      </c>
      <c r="C512" t="s">
        <v>11</v>
      </c>
      <c r="D512" t="s">
        <v>12</v>
      </c>
      <c r="E512" t="s">
        <v>16</v>
      </c>
      <c r="F512" t="s">
        <v>17</v>
      </c>
      <c r="G512">
        <v>1</v>
      </c>
      <c r="H512" s="1">
        <v>3704809</v>
      </c>
      <c r="I512" s="1">
        <v>2889751</v>
      </c>
      <c r="J512" t="s">
        <v>31</v>
      </c>
      <c r="K512" s="1">
        <f>Tabla1[[#This Row],[cantidad]]*Tabla1[[#This Row],[precio_unitario]]</f>
        <v>3704809</v>
      </c>
      <c r="L512" s="1">
        <f>Tabla1[[#This Row],[cantidad]]*Tabla1[[#This Row],[costo_unitario]]</f>
        <v>2889751</v>
      </c>
      <c r="M512" s="1">
        <f>Tabla1[[#This Row],[venta_total]]-Tabla1[[#This Row],[costo_total]]</f>
        <v>815058</v>
      </c>
      <c r="N512" s="3">
        <f>Tabla1[[#This Row],[margen]]/Tabla1[[#This Row],[venta_total]]</f>
        <v>0.22000000539838896</v>
      </c>
    </row>
    <row r="513" spans="1:14" x14ac:dyDescent="0.25">
      <c r="A513" s="2">
        <v>45347</v>
      </c>
      <c r="B513" t="s">
        <v>32</v>
      </c>
      <c r="C513" t="s">
        <v>11</v>
      </c>
      <c r="D513" t="s">
        <v>38</v>
      </c>
      <c r="E513" t="s">
        <v>16</v>
      </c>
      <c r="F513" t="s">
        <v>39</v>
      </c>
      <c r="G513">
        <v>1</v>
      </c>
      <c r="H513" s="1">
        <v>4062798</v>
      </c>
      <c r="I513" s="1">
        <v>3047098</v>
      </c>
      <c r="J513" t="s">
        <v>29</v>
      </c>
      <c r="K513" s="1">
        <f>Tabla1[[#This Row],[cantidad]]*Tabla1[[#This Row],[precio_unitario]]</f>
        <v>4062798</v>
      </c>
      <c r="L513" s="1">
        <f>Tabla1[[#This Row],[cantidad]]*Tabla1[[#This Row],[costo_unitario]]</f>
        <v>3047098</v>
      </c>
      <c r="M513" s="1">
        <f>Tabla1[[#This Row],[venta_total]]-Tabla1[[#This Row],[costo_total]]</f>
        <v>1015700</v>
      </c>
      <c r="N513" s="3">
        <f>Tabla1[[#This Row],[margen]]/Tabla1[[#This Row],[venta_total]]</f>
        <v>0.2500001230678956</v>
      </c>
    </row>
    <row r="514" spans="1:14" x14ac:dyDescent="0.25">
      <c r="A514" s="2">
        <v>45464</v>
      </c>
      <c r="B514" t="s">
        <v>32</v>
      </c>
      <c r="C514" t="s">
        <v>11</v>
      </c>
      <c r="D514" t="s">
        <v>26</v>
      </c>
      <c r="E514" t="s">
        <v>20</v>
      </c>
      <c r="F514" t="s">
        <v>36</v>
      </c>
      <c r="G514">
        <v>1</v>
      </c>
      <c r="H514" s="1">
        <v>2034282</v>
      </c>
      <c r="I514" s="1">
        <v>1525711</v>
      </c>
      <c r="J514" t="s">
        <v>15</v>
      </c>
      <c r="K514" s="1">
        <f>Tabla1[[#This Row],[cantidad]]*Tabla1[[#This Row],[precio_unitario]]</f>
        <v>2034282</v>
      </c>
      <c r="L514" s="1">
        <f>Tabla1[[#This Row],[cantidad]]*Tabla1[[#This Row],[costo_unitario]]</f>
        <v>1525711</v>
      </c>
      <c r="M514" s="1">
        <f>Tabla1[[#This Row],[venta_total]]-Tabla1[[#This Row],[costo_total]]</f>
        <v>508571</v>
      </c>
      <c r="N514" s="3">
        <f>Tabla1[[#This Row],[margen]]/Tabla1[[#This Row],[venta_total]]</f>
        <v>0.25000024578696561</v>
      </c>
    </row>
    <row r="515" spans="1:14" x14ac:dyDescent="0.25">
      <c r="A515" s="2">
        <v>45317</v>
      </c>
      <c r="B515" t="s">
        <v>32</v>
      </c>
      <c r="C515" t="s">
        <v>11</v>
      </c>
      <c r="D515" t="s">
        <v>12</v>
      </c>
      <c r="E515" t="s">
        <v>16</v>
      </c>
      <c r="F515" t="s">
        <v>17</v>
      </c>
      <c r="G515">
        <v>1</v>
      </c>
      <c r="H515" s="1">
        <v>3352450</v>
      </c>
      <c r="I515" s="1">
        <v>2614911</v>
      </c>
      <c r="J515" t="s">
        <v>22</v>
      </c>
      <c r="K515" s="1">
        <f>Tabla1[[#This Row],[cantidad]]*Tabla1[[#This Row],[precio_unitario]]</f>
        <v>3352450</v>
      </c>
      <c r="L515" s="1">
        <f>Tabla1[[#This Row],[cantidad]]*Tabla1[[#This Row],[costo_unitario]]</f>
        <v>2614911</v>
      </c>
      <c r="M515" s="1">
        <f>Tabla1[[#This Row],[venta_total]]-Tabla1[[#This Row],[costo_total]]</f>
        <v>737539</v>
      </c>
      <c r="N515" s="3">
        <f>Tabla1[[#This Row],[margen]]/Tabla1[[#This Row],[venta_total]]</f>
        <v>0.22</v>
      </c>
    </row>
    <row r="516" spans="1:14" x14ac:dyDescent="0.25">
      <c r="A516" s="2">
        <v>45299</v>
      </c>
      <c r="B516" t="s">
        <v>32</v>
      </c>
      <c r="C516" t="s">
        <v>11</v>
      </c>
      <c r="D516" t="s">
        <v>12</v>
      </c>
      <c r="E516" t="s">
        <v>13</v>
      </c>
      <c r="F516" t="s">
        <v>14</v>
      </c>
      <c r="G516">
        <v>1</v>
      </c>
      <c r="H516" s="1">
        <v>4211193</v>
      </c>
      <c r="I516" s="1">
        <v>3368954</v>
      </c>
      <c r="J516" t="s">
        <v>15</v>
      </c>
      <c r="K516" s="1">
        <f>Tabla1[[#This Row],[cantidad]]*Tabla1[[#This Row],[precio_unitario]]</f>
        <v>4211193</v>
      </c>
      <c r="L516" s="1">
        <f>Tabla1[[#This Row],[cantidad]]*Tabla1[[#This Row],[costo_unitario]]</f>
        <v>3368954</v>
      </c>
      <c r="M516" s="1">
        <f>Tabla1[[#This Row],[venta_total]]-Tabla1[[#This Row],[costo_total]]</f>
        <v>842239</v>
      </c>
      <c r="N516" s="3">
        <f>Tabla1[[#This Row],[margen]]/Tabla1[[#This Row],[venta_total]]</f>
        <v>0.20000009498496032</v>
      </c>
    </row>
    <row r="517" spans="1:14" x14ac:dyDescent="0.25">
      <c r="A517" s="2">
        <v>45372</v>
      </c>
      <c r="B517" t="s">
        <v>10</v>
      </c>
      <c r="C517" t="s">
        <v>11</v>
      </c>
      <c r="D517" t="s">
        <v>38</v>
      </c>
      <c r="E517" t="s">
        <v>20</v>
      </c>
      <c r="F517" t="s">
        <v>42</v>
      </c>
      <c r="G517">
        <v>1</v>
      </c>
      <c r="H517" s="1">
        <v>2708798</v>
      </c>
      <c r="I517" s="1">
        <v>1950334</v>
      </c>
      <c r="J517" t="s">
        <v>25</v>
      </c>
      <c r="K517" s="1">
        <f>Tabla1[[#This Row],[cantidad]]*Tabla1[[#This Row],[precio_unitario]]</f>
        <v>2708798</v>
      </c>
      <c r="L517" s="1">
        <f>Tabla1[[#This Row],[cantidad]]*Tabla1[[#This Row],[costo_unitario]]</f>
        <v>1950334</v>
      </c>
      <c r="M517" s="1">
        <f>Tabla1[[#This Row],[venta_total]]-Tabla1[[#This Row],[costo_total]]</f>
        <v>758464</v>
      </c>
      <c r="N517" s="3">
        <f>Tabla1[[#This Row],[margen]]/Tabla1[[#This Row],[venta_total]]</f>
        <v>0.28000020673376164</v>
      </c>
    </row>
    <row r="518" spans="1:14" x14ac:dyDescent="0.25">
      <c r="A518" s="2">
        <v>45466</v>
      </c>
      <c r="B518" t="s">
        <v>34</v>
      </c>
      <c r="C518" t="s">
        <v>11</v>
      </c>
      <c r="D518" t="s">
        <v>23</v>
      </c>
      <c r="E518" t="s">
        <v>16</v>
      </c>
      <c r="F518" t="s">
        <v>24</v>
      </c>
      <c r="G518">
        <v>1</v>
      </c>
      <c r="H518" s="1">
        <v>1554476</v>
      </c>
      <c r="I518" s="1">
        <v>1165857</v>
      </c>
      <c r="J518" t="s">
        <v>31</v>
      </c>
      <c r="K518" s="1">
        <f>Tabla1[[#This Row],[cantidad]]*Tabla1[[#This Row],[precio_unitario]]</f>
        <v>1554476</v>
      </c>
      <c r="L518" s="1">
        <f>Tabla1[[#This Row],[cantidad]]*Tabla1[[#This Row],[costo_unitario]]</f>
        <v>1165857</v>
      </c>
      <c r="M518" s="1">
        <f>Tabla1[[#This Row],[venta_total]]-Tabla1[[#This Row],[costo_total]]</f>
        <v>388619</v>
      </c>
      <c r="N518" s="3">
        <f>Tabla1[[#This Row],[margen]]/Tabla1[[#This Row],[venta_total]]</f>
        <v>0.25</v>
      </c>
    </row>
    <row r="519" spans="1:14" x14ac:dyDescent="0.25">
      <c r="A519" s="2">
        <v>45466</v>
      </c>
      <c r="B519" t="s">
        <v>32</v>
      </c>
      <c r="C519" t="s">
        <v>11</v>
      </c>
      <c r="D519" t="s">
        <v>26</v>
      </c>
      <c r="E519" t="s">
        <v>16</v>
      </c>
      <c r="F519" t="s">
        <v>40</v>
      </c>
      <c r="G519">
        <v>1</v>
      </c>
      <c r="H519" s="1">
        <v>4872073</v>
      </c>
      <c r="I519" s="1">
        <v>3800216</v>
      </c>
      <c r="J519" t="s">
        <v>29</v>
      </c>
      <c r="K519" s="1">
        <f>Tabla1[[#This Row],[cantidad]]*Tabla1[[#This Row],[precio_unitario]]</f>
        <v>4872073</v>
      </c>
      <c r="L519" s="1">
        <f>Tabla1[[#This Row],[cantidad]]*Tabla1[[#This Row],[costo_unitario]]</f>
        <v>3800216</v>
      </c>
      <c r="M519" s="1">
        <f>Tabla1[[#This Row],[venta_total]]-Tabla1[[#This Row],[costo_total]]</f>
        <v>1071857</v>
      </c>
      <c r="N519" s="3">
        <f>Tabla1[[#This Row],[margen]]/Tabla1[[#This Row],[venta_total]]</f>
        <v>0.22000019293635378</v>
      </c>
    </row>
    <row r="520" spans="1:14" x14ac:dyDescent="0.25">
      <c r="A520" s="2">
        <v>45370</v>
      </c>
      <c r="B520" t="s">
        <v>32</v>
      </c>
      <c r="C520" t="s">
        <v>11</v>
      </c>
      <c r="D520" t="s">
        <v>23</v>
      </c>
      <c r="E520" t="s">
        <v>13</v>
      </c>
      <c r="F520" t="s">
        <v>28</v>
      </c>
      <c r="G520">
        <v>1</v>
      </c>
      <c r="H520" s="1">
        <v>2423000</v>
      </c>
      <c r="I520" s="1">
        <v>1938400</v>
      </c>
      <c r="J520" t="s">
        <v>31</v>
      </c>
      <c r="K520" s="1">
        <f>Tabla1[[#This Row],[cantidad]]*Tabla1[[#This Row],[precio_unitario]]</f>
        <v>2423000</v>
      </c>
      <c r="L520" s="1">
        <f>Tabla1[[#This Row],[cantidad]]*Tabla1[[#This Row],[costo_unitario]]</f>
        <v>1938400</v>
      </c>
      <c r="M520" s="1">
        <f>Tabla1[[#This Row],[venta_total]]-Tabla1[[#This Row],[costo_total]]</f>
        <v>484600</v>
      </c>
      <c r="N520" s="3">
        <f>Tabla1[[#This Row],[margen]]/Tabla1[[#This Row],[venta_total]]</f>
        <v>0.2</v>
      </c>
    </row>
    <row r="521" spans="1:14" x14ac:dyDescent="0.25">
      <c r="A521" s="2">
        <v>45436</v>
      </c>
      <c r="B521" t="s">
        <v>18</v>
      </c>
      <c r="C521" t="s">
        <v>11</v>
      </c>
      <c r="D521" t="s">
        <v>23</v>
      </c>
      <c r="E521" t="s">
        <v>20</v>
      </c>
      <c r="F521" t="s">
        <v>30</v>
      </c>
      <c r="G521">
        <v>1</v>
      </c>
      <c r="H521" s="1">
        <v>1271846</v>
      </c>
      <c r="I521" s="1">
        <v>890292</v>
      </c>
      <c r="J521" t="s">
        <v>25</v>
      </c>
      <c r="K521" s="1">
        <f>Tabla1[[#This Row],[cantidad]]*Tabla1[[#This Row],[precio_unitario]]</f>
        <v>1271846</v>
      </c>
      <c r="L521" s="1">
        <f>Tabla1[[#This Row],[cantidad]]*Tabla1[[#This Row],[costo_unitario]]</f>
        <v>890292</v>
      </c>
      <c r="M521" s="1">
        <f>Tabla1[[#This Row],[venta_total]]-Tabla1[[#This Row],[costo_total]]</f>
        <v>381554</v>
      </c>
      <c r="N521" s="3">
        <f>Tabla1[[#This Row],[margen]]/Tabla1[[#This Row],[venta_total]]</f>
        <v>0.30000015725174273</v>
      </c>
    </row>
    <row r="522" spans="1:14" x14ac:dyDescent="0.25">
      <c r="A522" s="2">
        <v>45352</v>
      </c>
      <c r="B522" t="s">
        <v>18</v>
      </c>
      <c r="C522" t="s">
        <v>11</v>
      </c>
      <c r="D522" t="s">
        <v>26</v>
      </c>
      <c r="E522" t="s">
        <v>20</v>
      </c>
      <c r="F522" t="s">
        <v>36</v>
      </c>
      <c r="G522">
        <v>1</v>
      </c>
      <c r="H522" s="1">
        <v>3092281</v>
      </c>
      <c r="I522" s="1">
        <v>2319210</v>
      </c>
      <c r="J522" t="s">
        <v>29</v>
      </c>
      <c r="K522" s="1">
        <f>Tabla1[[#This Row],[cantidad]]*Tabla1[[#This Row],[precio_unitario]]</f>
        <v>3092281</v>
      </c>
      <c r="L522" s="1">
        <f>Tabla1[[#This Row],[cantidad]]*Tabla1[[#This Row],[costo_unitario]]</f>
        <v>2319210</v>
      </c>
      <c r="M522" s="1">
        <f>Tabla1[[#This Row],[venta_total]]-Tabla1[[#This Row],[costo_total]]</f>
        <v>773071</v>
      </c>
      <c r="N522" s="3">
        <f>Tabla1[[#This Row],[margen]]/Tabla1[[#This Row],[venta_total]]</f>
        <v>0.250000242539407</v>
      </c>
    </row>
    <row r="523" spans="1:14" x14ac:dyDescent="0.25">
      <c r="A523" s="2">
        <v>45295</v>
      </c>
      <c r="B523" t="s">
        <v>32</v>
      </c>
      <c r="C523" t="s">
        <v>11</v>
      </c>
      <c r="D523" t="s">
        <v>19</v>
      </c>
      <c r="E523" t="s">
        <v>13</v>
      </c>
      <c r="F523" t="s">
        <v>33</v>
      </c>
      <c r="G523">
        <v>2</v>
      </c>
      <c r="H523" s="1">
        <v>1432615</v>
      </c>
      <c r="I523" s="1">
        <v>1002830</v>
      </c>
      <c r="J523" t="s">
        <v>25</v>
      </c>
      <c r="K523" s="1">
        <f>Tabla1[[#This Row],[cantidad]]*Tabla1[[#This Row],[precio_unitario]]</f>
        <v>2865230</v>
      </c>
      <c r="L523" s="1">
        <f>Tabla1[[#This Row],[cantidad]]*Tabla1[[#This Row],[costo_unitario]]</f>
        <v>2005660</v>
      </c>
      <c r="M523" s="1">
        <f>Tabla1[[#This Row],[venta_total]]-Tabla1[[#This Row],[costo_total]]</f>
        <v>859570</v>
      </c>
      <c r="N523" s="3">
        <f>Tabla1[[#This Row],[margen]]/Tabla1[[#This Row],[venta_total]]</f>
        <v>0.30000034901212119</v>
      </c>
    </row>
    <row r="524" spans="1:14" x14ac:dyDescent="0.25">
      <c r="A524" s="2">
        <v>45463</v>
      </c>
      <c r="B524" t="s">
        <v>18</v>
      </c>
      <c r="C524" t="s">
        <v>11</v>
      </c>
      <c r="D524" t="s">
        <v>19</v>
      </c>
      <c r="E524" t="s">
        <v>13</v>
      </c>
      <c r="F524" t="s">
        <v>33</v>
      </c>
      <c r="G524">
        <v>2</v>
      </c>
      <c r="H524" s="1">
        <v>1834967</v>
      </c>
      <c r="I524" s="1">
        <v>1284476</v>
      </c>
      <c r="J524" t="s">
        <v>31</v>
      </c>
      <c r="K524" s="1">
        <f>Tabla1[[#This Row],[cantidad]]*Tabla1[[#This Row],[precio_unitario]]</f>
        <v>3669934</v>
      </c>
      <c r="L524" s="1">
        <f>Tabla1[[#This Row],[cantidad]]*Tabla1[[#This Row],[costo_unitario]]</f>
        <v>2568952</v>
      </c>
      <c r="M524" s="1">
        <f>Tabla1[[#This Row],[venta_total]]-Tabla1[[#This Row],[costo_total]]</f>
        <v>1100982</v>
      </c>
      <c r="N524" s="3">
        <f>Tabla1[[#This Row],[margen]]/Tabla1[[#This Row],[venta_total]]</f>
        <v>0.30000049047203575</v>
      </c>
    </row>
    <row r="525" spans="1:14" x14ac:dyDescent="0.25">
      <c r="A525" s="2">
        <v>45361</v>
      </c>
      <c r="B525" t="s">
        <v>18</v>
      </c>
      <c r="C525" t="s">
        <v>11</v>
      </c>
      <c r="D525" t="s">
        <v>19</v>
      </c>
      <c r="E525" t="s">
        <v>13</v>
      </c>
      <c r="F525" t="s">
        <v>33</v>
      </c>
      <c r="G525">
        <v>3</v>
      </c>
      <c r="H525" s="1">
        <v>1332280</v>
      </c>
      <c r="I525" s="1">
        <v>932595</v>
      </c>
      <c r="J525" t="s">
        <v>29</v>
      </c>
      <c r="K525" s="1">
        <f>Tabla1[[#This Row],[cantidad]]*Tabla1[[#This Row],[precio_unitario]]</f>
        <v>3996840</v>
      </c>
      <c r="L525" s="1">
        <f>Tabla1[[#This Row],[cantidad]]*Tabla1[[#This Row],[costo_unitario]]</f>
        <v>2797785</v>
      </c>
      <c r="M525" s="1">
        <f>Tabla1[[#This Row],[venta_total]]-Tabla1[[#This Row],[costo_total]]</f>
        <v>1199055</v>
      </c>
      <c r="N525" s="3">
        <f>Tabla1[[#This Row],[margen]]/Tabla1[[#This Row],[venta_total]]</f>
        <v>0.30000075059296843</v>
      </c>
    </row>
    <row r="526" spans="1:14" x14ac:dyDescent="0.25">
      <c r="A526" s="2">
        <v>45444</v>
      </c>
      <c r="B526" t="s">
        <v>18</v>
      </c>
      <c r="C526" t="s">
        <v>11</v>
      </c>
      <c r="D526" t="s">
        <v>12</v>
      </c>
      <c r="E526" t="s">
        <v>20</v>
      </c>
      <c r="F526" t="s">
        <v>37</v>
      </c>
      <c r="G526">
        <v>1</v>
      </c>
      <c r="H526" s="1">
        <v>2000316</v>
      </c>
      <c r="I526" s="1">
        <v>1500237</v>
      </c>
      <c r="J526" t="s">
        <v>29</v>
      </c>
      <c r="K526" s="1">
        <f>Tabla1[[#This Row],[cantidad]]*Tabla1[[#This Row],[precio_unitario]]</f>
        <v>2000316</v>
      </c>
      <c r="L526" s="1">
        <f>Tabla1[[#This Row],[cantidad]]*Tabla1[[#This Row],[costo_unitario]]</f>
        <v>1500237</v>
      </c>
      <c r="M526" s="1">
        <f>Tabla1[[#This Row],[venta_total]]-Tabla1[[#This Row],[costo_total]]</f>
        <v>500079</v>
      </c>
      <c r="N526" s="3">
        <f>Tabla1[[#This Row],[margen]]/Tabla1[[#This Row],[venta_total]]</f>
        <v>0.25</v>
      </c>
    </row>
    <row r="527" spans="1:14" x14ac:dyDescent="0.25">
      <c r="A527" s="2">
        <v>45304</v>
      </c>
      <c r="B527" t="s">
        <v>34</v>
      </c>
      <c r="C527" t="s">
        <v>11</v>
      </c>
      <c r="D527" t="s">
        <v>38</v>
      </c>
      <c r="E527" t="s">
        <v>20</v>
      </c>
      <c r="F527" t="s">
        <v>42</v>
      </c>
      <c r="G527">
        <v>1</v>
      </c>
      <c r="H527" s="1">
        <v>2506310</v>
      </c>
      <c r="I527" s="1">
        <v>1804543</v>
      </c>
      <c r="J527" t="s">
        <v>22</v>
      </c>
      <c r="K527" s="1">
        <f>Tabla1[[#This Row],[cantidad]]*Tabla1[[#This Row],[precio_unitario]]</f>
        <v>2506310</v>
      </c>
      <c r="L527" s="1">
        <f>Tabla1[[#This Row],[cantidad]]*Tabla1[[#This Row],[costo_unitario]]</f>
        <v>1804543</v>
      </c>
      <c r="M527" s="1">
        <f>Tabla1[[#This Row],[venta_total]]-Tabla1[[#This Row],[costo_total]]</f>
        <v>701767</v>
      </c>
      <c r="N527" s="3">
        <f>Tabla1[[#This Row],[margen]]/Tabla1[[#This Row],[venta_total]]</f>
        <v>0.28000007979858837</v>
      </c>
    </row>
    <row r="528" spans="1:14" x14ac:dyDescent="0.25">
      <c r="A528" s="2">
        <v>45384</v>
      </c>
      <c r="B528" t="s">
        <v>10</v>
      </c>
      <c r="C528" t="s">
        <v>11</v>
      </c>
      <c r="D528" t="s">
        <v>23</v>
      </c>
      <c r="E528" t="s">
        <v>13</v>
      </c>
      <c r="F528" t="s">
        <v>28</v>
      </c>
      <c r="G528">
        <v>1</v>
      </c>
      <c r="H528" s="1">
        <v>2977455</v>
      </c>
      <c r="I528" s="1">
        <v>2381964</v>
      </c>
      <c r="J528" t="s">
        <v>15</v>
      </c>
      <c r="K528" s="1">
        <f>Tabla1[[#This Row],[cantidad]]*Tabla1[[#This Row],[precio_unitario]]</f>
        <v>2977455</v>
      </c>
      <c r="L528" s="1">
        <f>Tabla1[[#This Row],[cantidad]]*Tabla1[[#This Row],[costo_unitario]]</f>
        <v>2381964</v>
      </c>
      <c r="M528" s="1">
        <f>Tabla1[[#This Row],[venta_total]]-Tabla1[[#This Row],[costo_total]]</f>
        <v>595491</v>
      </c>
      <c r="N528" s="3">
        <f>Tabla1[[#This Row],[margen]]/Tabla1[[#This Row],[venta_total]]</f>
        <v>0.2</v>
      </c>
    </row>
    <row r="529" spans="1:14" x14ac:dyDescent="0.25">
      <c r="A529" s="2">
        <v>45310</v>
      </c>
      <c r="B529" t="s">
        <v>10</v>
      </c>
      <c r="C529" t="s">
        <v>11</v>
      </c>
      <c r="D529" t="s">
        <v>12</v>
      </c>
      <c r="E529" t="s">
        <v>13</v>
      </c>
      <c r="F529" t="s">
        <v>14</v>
      </c>
      <c r="G529">
        <v>1</v>
      </c>
      <c r="H529" s="1">
        <v>4397478</v>
      </c>
      <c r="I529" s="1">
        <v>3517982</v>
      </c>
      <c r="J529" t="s">
        <v>29</v>
      </c>
      <c r="K529" s="1">
        <f>Tabla1[[#This Row],[cantidad]]*Tabla1[[#This Row],[precio_unitario]]</f>
        <v>4397478</v>
      </c>
      <c r="L529" s="1">
        <f>Tabla1[[#This Row],[cantidad]]*Tabla1[[#This Row],[costo_unitario]]</f>
        <v>3517982</v>
      </c>
      <c r="M529" s="1">
        <f>Tabla1[[#This Row],[venta_total]]-Tabla1[[#This Row],[costo_total]]</f>
        <v>879496</v>
      </c>
      <c r="N529" s="3">
        <f>Tabla1[[#This Row],[margen]]/Tabla1[[#This Row],[venta_total]]</f>
        <v>0.20000009096122823</v>
      </c>
    </row>
    <row r="530" spans="1:14" x14ac:dyDescent="0.25">
      <c r="A530" s="2">
        <v>45318</v>
      </c>
      <c r="B530" t="s">
        <v>18</v>
      </c>
      <c r="C530" t="s">
        <v>11</v>
      </c>
      <c r="D530" t="s">
        <v>38</v>
      </c>
      <c r="E530" t="s">
        <v>20</v>
      </c>
      <c r="F530" t="s">
        <v>42</v>
      </c>
      <c r="G530">
        <v>1</v>
      </c>
      <c r="H530" s="1">
        <v>3165431</v>
      </c>
      <c r="I530" s="1">
        <v>2279110</v>
      </c>
      <c r="J530" t="s">
        <v>22</v>
      </c>
      <c r="K530" s="1">
        <f>Tabla1[[#This Row],[cantidad]]*Tabla1[[#This Row],[precio_unitario]]</f>
        <v>3165431</v>
      </c>
      <c r="L530" s="1">
        <f>Tabla1[[#This Row],[cantidad]]*Tabla1[[#This Row],[costo_unitario]]</f>
        <v>2279110</v>
      </c>
      <c r="M530" s="1">
        <f>Tabla1[[#This Row],[venta_total]]-Tabla1[[#This Row],[costo_total]]</f>
        <v>886321</v>
      </c>
      <c r="N530" s="3">
        <f>Tabla1[[#This Row],[margen]]/Tabla1[[#This Row],[venta_total]]</f>
        <v>0.28000010109207879</v>
      </c>
    </row>
    <row r="531" spans="1:14" x14ac:dyDescent="0.25">
      <c r="A531" s="2">
        <v>45350</v>
      </c>
      <c r="B531" t="s">
        <v>34</v>
      </c>
      <c r="C531" t="s">
        <v>11</v>
      </c>
      <c r="D531" t="s">
        <v>23</v>
      </c>
      <c r="E531" t="s">
        <v>20</v>
      </c>
      <c r="F531" t="s">
        <v>30</v>
      </c>
      <c r="G531">
        <v>1</v>
      </c>
      <c r="H531" s="1">
        <v>1007473</v>
      </c>
      <c r="I531" s="1">
        <v>705231</v>
      </c>
      <c r="J531" t="s">
        <v>15</v>
      </c>
      <c r="K531" s="1">
        <f>Tabla1[[#This Row],[cantidad]]*Tabla1[[#This Row],[precio_unitario]]</f>
        <v>1007473</v>
      </c>
      <c r="L531" s="1">
        <f>Tabla1[[#This Row],[cantidad]]*Tabla1[[#This Row],[costo_unitario]]</f>
        <v>705231</v>
      </c>
      <c r="M531" s="1">
        <f>Tabla1[[#This Row],[venta_total]]-Tabla1[[#This Row],[costo_total]]</f>
        <v>302242</v>
      </c>
      <c r="N531" s="3">
        <f>Tabla1[[#This Row],[margen]]/Tabla1[[#This Row],[venta_total]]</f>
        <v>0.30000009925824317</v>
      </c>
    </row>
    <row r="532" spans="1:14" x14ac:dyDescent="0.25">
      <c r="A532" s="2">
        <v>45316</v>
      </c>
      <c r="B532" t="s">
        <v>10</v>
      </c>
      <c r="C532" t="s">
        <v>11</v>
      </c>
      <c r="D532" t="s">
        <v>38</v>
      </c>
      <c r="E532" t="s">
        <v>13</v>
      </c>
      <c r="F532" t="s">
        <v>41</v>
      </c>
      <c r="G532">
        <v>1</v>
      </c>
      <c r="H532" s="1">
        <v>6799713</v>
      </c>
      <c r="I532" s="1">
        <v>5439770</v>
      </c>
      <c r="J532" t="s">
        <v>29</v>
      </c>
      <c r="K532" s="1">
        <f>Tabla1[[#This Row],[cantidad]]*Tabla1[[#This Row],[precio_unitario]]</f>
        <v>6799713</v>
      </c>
      <c r="L532" s="1">
        <f>Tabla1[[#This Row],[cantidad]]*Tabla1[[#This Row],[costo_unitario]]</f>
        <v>5439770</v>
      </c>
      <c r="M532" s="1">
        <f>Tabla1[[#This Row],[venta_total]]-Tabla1[[#This Row],[costo_total]]</f>
        <v>1359943</v>
      </c>
      <c r="N532" s="3">
        <f>Tabla1[[#This Row],[margen]]/Tabla1[[#This Row],[venta_total]]</f>
        <v>0.20000005882601221</v>
      </c>
    </row>
    <row r="533" spans="1:14" x14ac:dyDescent="0.25">
      <c r="A533" s="2">
        <v>45468</v>
      </c>
      <c r="B533" t="s">
        <v>34</v>
      </c>
      <c r="C533" t="s">
        <v>11</v>
      </c>
      <c r="D533" t="s">
        <v>38</v>
      </c>
      <c r="E533" t="s">
        <v>16</v>
      </c>
      <c r="F533" t="s">
        <v>39</v>
      </c>
      <c r="G533">
        <v>1</v>
      </c>
      <c r="H533" s="1">
        <v>4024315</v>
      </c>
      <c r="I533" s="1">
        <v>3018236</v>
      </c>
      <c r="J533" t="s">
        <v>22</v>
      </c>
      <c r="K533" s="1">
        <f>Tabla1[[#This Row],[cantidad]]*Tabla1[[#This Row],[precio_unitario]]</f>
        <v>4024315</v>
      </c>
      <c r="L533" s="1">
        <f>Tabla1[[#This Row],[cantidad]]*Tabla1[[#This Row],[costo_unitario]]</f>
        <v>3018236</v>
      </c>
      <c r="M533" s="1">
        <f>Tabla1[[#This Row],[venta_total]]-Tabla1[[#This Row],[costo_total]]</f>
        <v>1006079</v>
      </c>
      <c r="N533" s="3">
        <f>Tabla1[[#This Row],[margen]]/Tabla1[[#This Row],[venta_total]]</f>
        <v>0.25000006212237363</v>
      </c>
    </row>
    <row r="534" spans="1:14" x14ac:dyDescent="0.25">
      <c r="A534" s="2">
        <v>45346</v>
      </c>
      <c r="B534" t="s">
        <v>18</v>
      </c>
      <c r="C534" t="s">
        <v>11</v>
      </c>
      <c r="D534" t="s">
        <v>38</v>
      </c>
      <c r="E534" t="s">
        <v>20</v>
      </c>
      <c r="F534" t="s">
        <v>42</v>
      </c>
      <c r="G534">
        <v>1</v>
      </c>
      <c r="H534" s="1">
        <v>3494884</v>
      </c>
      <c r="I534" s="1">
        <v>2516316</v>
      </c>
      <c r="J534" t="s">
        <v>25</v>
      </c>
      <c r="K534" s="1">
        <f>Tabla1[[#This Row],[cantidad]]*Tabla1[[#This Row],[precio_unitario]]</f>
        <v>3494884</v>
      </c>
      <c r="L534" s="1">
        <f>Tabla1[[#This Row],[cantidad]]*Tabla1[[#This Row],[costo_unitario]]</f>
        <v>2516316</v>
      </c>
      <c r="M534" s="1">
        <f>Tabla1[[#This Row],[venta_total]]-Tabla1[[#This Row],[costo_total]]</f>
        <v>978568</v>
      </c>
      <c r="N534" s="3">
        <f>Tabla1[[#This Row],[margen]]/Tabla1[[#This Row],[venta_total]]</f>
        <v>0.28000013734361429</v>
      </c>
    </row>
    <row r="535" spans="1:14" x14ac:dyDescent="0.25">
      <c r="A535" s="2">
        <v>45295</v>
      </c>
      <c r="B535" t="s">
        <v>32</v>
      </c>
      <c r="C535" t="s">
        <v>11</v>
      </c>
      <c r="D535" t="s">
        <v>19</v>
      </c>
      <c r="E535" t="s">
        <v>13</v>
      </c>
      <c r="F535" t="s">
        <v>33</v>
      </c>
      <c r="G535">
        <v>1</v>
      </c>
      <c r="H535" s="1">
        <v>1823211</v>
      </c>
      <c r="I535" s="1">
        <v>1276247</v>
      </c>
      <c r="J535" t="s">
        <v>22</v>
      </c>
      <c r="K535" s="1">
        <f>Tabla1[[#This Row],[cantidad]]*Tabla1[[#This Row],[precio_unitario]]</f>
        <v>1823211</v>
      </c>
      <c r="L535" s="1">
        <f>Tabla1[[#This Row],[cantidad]]*Tabla1[[#This Row],[costo_unitario]]</f>
        <v>1276247</v>
      </c>
      <c r="M535" s="1">
        <f>Tabla1[[#This Row],[venta_total]]-Tabla1[[#This Row],[costo_total]]</f>
        <v>546964</v>
      </c>
      <c r="N535" s="3">
        <f>Tabla1[[#This Row],[margen]]/Tabla1[[#This Row],[venta_total]]</f>
        <v>0.30000038393800826</v>
      </c>
    </row>
    <row r="536" spans="1:14" x14ac:dyDescent="0.25">
      <c r="A536" s="2">
        <v>45307</v>
      </c>
      <c r="B536" t="s">
        <v>34</v>
      </c>
      <c r="C536" t="s">
        <v>11</v>
      </c>
      <c r="D536" t="s">
        <v>19</v>
      </c>
      <c r="E536" t="s">
        <v>16</v>
      </c>
      <c r="F536" t="s">
        <v>35</v>
      </c>
      <c r="G536">
        <v>3</v>
      </c>
      <c r="H536" s="1">
        <v>1037451</v>
      </c>
      <c r="I536" s="1">
        <v>674343</v>
      </c>
      <c r="J536" t="s">
        <v>31</v>
      </c>
      <c r="K536" s="1">
        <f>Tabla1[[#This Row],[cantidad]]*Tabla1[[#This Row],[precio_unitario]]</f>
        <v>3112353</v>
      </c>
      <c r="L536" s="1">
        <f>Tabla1[[#This Row],[cantidad]]*Tabla1[[#This Row],[costo_unitario]]</f>
        <v>2023029</v>
      </c>
      <c r="M536" s="1">
        <f>Tabla1[[#This Row],[venta_total]]-Tabla1[[#This Row],[costo_total]]</f>
        <v>1089324</v>
      </c>
      <c r="N536" s="3">
        <f>Tabla1[[#This Row],[margen]]/Tabla1[[#This Row],[venta_total]]</f>
        <v>0.35000014458514184</v>
      </c>
    </row>
    <row r="537" spans="1:14" x14ac:dyDescent="0.25">
      <c r="A537" s="2">
        <v>45455</v>
      </c>
      <c r="B537" t="s">
        <v>32</v>
      </c>
      <c r="C537" t="s">
        <v>11</v>
      </c>
      <c r="D537" t="s">
        <v>19</v>
      </c>
      <c r="E537" t="s">
        <v>20</v>
      </c>
      <c r="F537" t="s">
        <v>21</v>
      </c>
      <c r="G537">
        <v>2</v>
      </c>
      <c r="H537" s="1">
        <v>401816</v>
      </c>
      <c r="I537" s="1">
        <v>241089</v>
      </c>
      <c r="J537" t="s">
        <v>31</v>
      </c>
      <c r="K537" s="1">
        <f>Tabla1[[#This Row],[cantidad]]*Tabla1[[#This Row],[precio_unitario]]</f>
        <v>803632</v>
      </c>
      <c r="L537" s="1">
        <f>Tabla1[[#This Row],[cantidad]]*Tabla1[[#This Row],[costo_unitario]]</f>
        <v>482178</v>
      </c>
      <c r="M537" s="1">
        <f>Tabla1[[#This Row],[venta_total]]-Tabla1[[#This Row],[costo_total]]</f>
        <v>321454</v>
      </c>
      <c r="N537" s="3">
        <f>Tabla1[[#This Row],[margen]]/Tabla1[[#This Row],[venta_total]]</f>
        <v>0.40000149322077766</v>
      </c>
    </row>
    <row r="538" spans="1:14" x14ac:dyDescent="0.25">
      <c r="A538" s="2">
        <v>45311</v>
      </c>
      <c r="B538" t="s">
        <v>18</v>
      </c>
      <c r="C538" t="s">
        <v>11</v>
      </c>
      <c r="D538" t="s">
        <v>26</v>
      </c>
      <c r="E538" t="s">
        <v>16</v>
      </c>
      <c r="F538" t="s">
        <v>40</v>
      </c>
      <c r="G538">
        <v>1</v>
      </c>
      <c r="H538" s="1">
        <v>3486040</v>
      </c>
      <c r="I538" s="1">
        <v>2719111</v>
      </c>
      <c r="J538" t="s">
        <v>31</v>
      </c>
      <c r="K538" s="1">
        <f>Tabla1[[#This Row],[cantidad]]*Tabla1[[#This Row],[precio_unitario]]</f>
        <v>3486040</v>
      </c>
      <c r="L538" s="1">
        <f>Tabla1[[#This Row],[cantidad]]*Tabla1[[#This Row],[costo_unitario]]</f>
        <v>2719111</v>
      </c>
      <c r="M538" s="1">
        <f>Tabla1[[#This Row],[venta_total]]-Tabla1[[#This Row],[costo_total]]</f>
        <v>766929</v>
      </c>
      <c r="N538" s="3">
        <f>Tabla1[[#This Row],[margen]]/Tabla1[[#This Row],[venta_total]]</f>
        <v>0.22000005737168821</v>
      </c>
    </row>
    <row r="539" spans="1:14" x14ac:dyDescent="0.25">
      <c r="A539" s="2">
        <v>45366</v>
      </c>
      <c r="B539" t="s">
        <v>18</v>
      </c>
      <c r="C539" t="s">
        <v>11</v>
      </c>
      <c r="D539" t="s">
        <v>38</v>
      </c>
      <c r="E539" t="s">
        <v>16</v>
      </c>
      <c r="F539" t="s">
        <v>39</v>
      </c>
      <c r="G539">
        <v>1</v>
      </c>
      <c r="H539" s="1">
        <v>5966561</v>
      </c>
      <c r="I539" s="1">
        <v>4474920</v>
      </c>
      <c r="J539" t="s">
        <v>25</v>
      </c>
      <c r="K539" s="1">
        <f>Tabla1[[#This Row],[cantidad]]*Tabla1[[#This Row],[precio_unitario]]</f>
        <v>5966561</v>
      </c>
      <c r="L539" s="1">
        <f>Tabla1[[#This Row],[cantidad]]*Tabla1[[#This Row],[costo_unitario]]</f>
        <v>4474920</v>
      </c>
      <c r="M539" s="1">
        <f>Tabla1[[#This Row],[venta_total]]-Tabla1[[#This Row],[costo_total]]</f>
        <v>1491641</v>
      </c>
      <c r="N539" s="3">
        <f>Tabla1[[#This Row],[margen]]/Tabla1[[#This Row],[venta_total]]</f>
        <v>0.25000012570055014</v>
      </c>
    </row>
    <row r="540" spans="1:14" x14ac:dyDescent="0.25">
      <c r="A540" s="2">
        <v>45401</v>
      </c>
      <c r="B540" t="s">
        <v>32</v>
      </c>
      <c r="C540" t="s">
        <v>11</v>
      </c>
      <c r="D540" t="s">
        <v>19</v>
      </c>
      <c r="E540" t="s">
        <v>20</v>
      </c>
      <c r="F540" t="s">
        <v>21</v>
      </c>
      <c r="G540">
        <v>2</v>
      </c>
      <c r="H540" s="1">
        <v>434980</v>
      </c>
      <c r="I540" s="1">
        <v>260988</v>
      </c>
      <c r="J540" t="s">
        <v>29</v>
      </c>
      <c r="K540" s="1">
        <f>Tabla1[[#This Row],[cantidad]]*Tabla1[[#This Row],[precio_unitario]]</f>
        <v>869960</v>
      </c>
      <c r="L540" s="1">
        <f>Tabla1[[#This Row],[cantidad]]*Tabla1[[#This Row],[costo_unitario]]</f>
        <v>521976</v>
      </c>
      <c r="M540" s="1">
        <f>Tabla1[[#This Row],[venta_total]]-Tabla1[[#This Row],[costo_total]]</f>
        <v>347984</v>
      </c>
      <c r="N540" s="3">
        <f>Tabla1[[#This Row],[margen]]/Tabla1[[#This Row],[venta_total]]</f>
        <v>0.4</v>
      </c>
    </row>
    <row r="541" spans="1:14" x14ac:dyDescent="0.25">
      <c r="A541" s="2">
        <v>45428</v>
      </c>
      <c r="B541" t="s">
        <v>32</v>
      </c>
      <c r="C541" t="s">
        <v>11</v>
      </c>
      <c r="D541" t="s">
        <v>12</v>
      </c>
      <c r="E541" t="s">
        <v>13</v>
      </c>
      <c r="F541" t="s">
        <v>14</v>
      </c>
      <c r="G541">
        <v>1</v>
      </c>
      <c r="H541" s="1">
        <v>4643345</v>
      </c>
      <c r="I541" s="1">
        <v>3714676</v>
      </c>
      <c r="J541" t="s">
        <v>31</v>
      </c>
      <c r="K541" s="1">
        <f>Tabla1[[#This Row],[cantidad]]*Tabla1[[#This Row],[precio_unitario]]</f>
        <v>4643345</v>
      </c>
      <c r="L541" s="1">
        <f>Tabla1[[#This Row],[cantidad]]*Tabla1[[#This Row],[costo_unitario]]</f>
        <v>3714676</v>
      </c>
      <c r="M541" s="1">
        <f>Tabla1[[#This Row],[venta_total]]-Tabla1[[#This Row],[costo_total]]</f>
        <v>928669</v>
      </c>
      <c r="N541" s="3">
        <f>Tabla1[[#This Row],[margen]]/Tabla1[[#This Row],[venta_total]]</f>
        <v>0.2</v>
      </c>
    </row>
    <row r="542" spans="1:14" x14ac:dyDescent="0.25">
      <c r="A542" s="2">
        <v>45374</v>
      </c>
      <c r="B542" t="s">
        <v>10</v>
      </c>
      <c r="C542" t="s">
        <v>11</v>
      </c>
      <c r="D542" t="s">
        <v>12</v>
      </c>
      <c r="E542" t="s">
        <v>20</v>
      </c>
      <c r="F542" t="s">
        <v>37</v>
      </c>
      <c r="G542">
        <v>1</v>
      </c>
      <c r="H542" s="1">
        <v>2281916</v>
      </c>
      <c r="I542" s="1">
        <v>1711437</v>
      </c>
      <c r="J542" t="s">
        <v>29</v>
      </c>
      <c r="K542" s="1">
        <f>Tabla1[[#This Row],[cantidad]]*Tabla1[[#This Row],[precio_unitario]]</f>
        <v>2281916</v>
      </c>
      <c r="L542" s="1">
        <f>Tabla1[[#This Row],[cantidad]]*Tabla1[[#This Row],[costo_unitario]]</f>
        <v>1711437</v>
      </c>
      <c r="M542" s="1">
        <f>Tabla1[[#This Row],[venta_total]]-Tabla1[[#This Row],[costo_total]]</f>
        <v>570479</v>
      </c>
      <c r="N542" s="3">
        <f>Tabla1[[#This Row],[margen]]/Tabla1[[#This Row],[venta_total]]</f>
        <v>0.25</v>
      </c>
    </row>
    <row r="543" spans="1:14" x14ac:dyDescent="0.25">
      <c r="A543" s="2">
        <v>45387</v>
      </c>
      <c r="B543" t="s">
        <v>10</v>
      </c>
      <c r="C543" t="s">
        <v>11</v>
      </c>
      <c r="D543" t="s">
        <v>23</v>
      </c>
      <c r="E543" t="s">
        <v>16</v>
      </c>
      <c r="F543" t="s">
        <v>24</v>
      </c>
      <c r="G543">
        <v>1</v>
      </c>
      <c r="H543" s="1">
        <v>1558181</v>
      </c>
      <c r="I543" s="1">
        <v>1168635</v>
      </c>
      <c r="J543" t="s">
        <v>29</v>
      </c>
      <c r="K543" s="1">
        <f>Tabla1[[#This Row],[cantidad]]*Tabla1[[#This Row],[precio_unitario]]</f>
        <v>1558181</v>
      </c>
      <c r="L543" s="1">
        <f>Tabla1[[#This Row],[cantidad]]*Tabla1[[#This Row],[costo_unitario]]</f>
        <v>1168635</v>
      </c>
      <c r="M543" s="1">
        <f>Tabla1[[#This Row],[venta_total]]-Tabla1[[#This Row],[costo_total]]</f>
        <v>389546</v>
      </c>
      <c r="N543" s="3">
        <f>Tabla1[[#This Row],[margen]]/Tabla1[[#This Row],[venta_total]]</f>
        <v>0.25000048133047442</v>
      </c>
    </row>
    <row r="544" spans="1:14" x14ac:dyDescent="0.25">
      <c r="A544" s="2">
        <v>45321</v>
      </c>
      <c r="B544" t="s">
        <v>34</v>
      </c>
      <c r="C544" t="s">
        <v>11</v>
      </c>
      <c r="D544" t="s">
        <v>26</v>
      </c>
      <c r="E544" t="s">
        <v>20</v>
      </c>
      <c r="F544" t="s">
        <v>36</v>
      </c>
      <c r="G544">
        <v>1</v>
      </c>
      <c r="H544" s="1">
        <v>2178732</v>
      </c>
      <c r="I544" s="1">
        <v>1634049</v>
      </c>
      <c r="J544" t="s">
        <v>15</v>
      </c>
      <c r="K544" s="1">
        <f>Tabla1[[#This Row],[cantidad]]*Tabla1[[#This Row],[precio_unitario]]</f>
        <v>2178732</v>
      </c>
      <c r="L544" s="1">
        <f>Tabla1[[#This Row],[cantidad]]*Tabla1[[#This Row],[costo_unitario]]</f>
        <v>1634049</v>
      </c>
      <c r="M544" s="1">
        <f>Tabla1[[#This Row],[venta_total]]-Tabla1[[#This Row],[costo_total]]</f>
        <v>544683</v>
      </c>
      <c r="N544" s="3">
        <f>Tabla1[[#This Row],[margen]]/Tabla1[[#This Row],[venta_total]]</f>
        <v>0.25</v>
      </c>
    </row>
    <row r="545" spans="1:14" x14ac:dyDescent="0.25">
      <c r="A545" s="2">
        <v>45352</v>
      </c>
      <c r="B545" t="s">
        <v>18</v>
      </c>
      <c r="C545" t="s">
        <v>11</v>
      </c>
      <c r="D545" t="s">
        <v>19</v>
      </c>
      <c r="E545" t="s">
        <v>16</v>
      </c>
      <c r="F545" t="s">
        <v>35</v>
      </c>
      <c r="G545">
        <v>3</v>
      </c>
      <c r="H545" s="1">
        <v>713013</v>
      </c>
      <c r="I545" s="1">
        <v>463458</v>
      </c>
      <c r="J545" t="s">
        <v>29</v>
      </c>
      <c r="K545" s="1">
        <f>Tabla1[[#This Row],[cantidad]]*Tabla1[[#This Row],[precio_unitario]]</f>
        <v>2139039</v>
      </c>
      <c r="L545" s="1">
        <f>Tabla1[[#This Row],[cantidad]]*Tabla1[[#This Row],[costo_unitario]]</f>
        <v>1390374</v>
      </c>
      <c r="M545" s="1">
        <f>Tabla1[[#This Row],[venta_total]]-Tabla1[[#This Row],[costo_total]]</f>
        <v>748665</v>
      </c>
      <c r="N545" s="3">
        <f>Tabla1[[#This Row],[margen]]/Tabla1[[#This Row],[venta_total]]</f>
        <v>0.35000063112453772</v>
      </c>
    </row>
    <row r="546" spans="1:14" x14ac:dyDescent="0.25">
      <c r="A546" s="2">
        <v>45461</v>
      </c>
      <c r="B546" t="s">
        <v>18</v>
      </c>
      <c r="C546" t="s">
        <v>11</v>
      </c>
      <c r="D546" t="s">
        <v>23</v>
      </c>
      <c r="E546" t="s">
        <v>13</v>
      </c>
      <c r="F546" t="s">
        <v>28</v>
      </c>
      <c r="G546">
        <v>1</v>
      </c>
      <c r="H546" s="1">
        <v>2171803</v>
      </c>
      <c r="I546" s="1">
        <v>1737442</v>
      </c>
      <c r="J546" t="s">
        <v>15</v>
      </c>
      <c r="K546" s="1">
        <f>Tabla1[[#This Row],[cantidad]]*Tabla1[[#This Row],[precio_unitario]]</f>
        <v>2171803</v>
      </c>
      <c r="L546" s="1">
        <f>Tabla1[[#This Row],[cantidad]]*Tabla1[[#This Row],[costo_unitario]]</f>
        <v>1737442</v>
      </c>
      <c r="M546" s="1">
        <f>Tabla1[[#This Row],[venta_total]]-Tabla1[[#This Row],[costo_total]]</f>
        <v>434361</v>
      </c>
      <c r="N546" s="3">
        <f>Tabla1[[#This Row],[margen]]/Tabla1[[#This Row],[venta_total]]</f>
        <v>0.20000018417876758</v>
      </c>
    </row>
    <row r="547" spans="1:14" x14ac:dyDescent="0.25">
      <c r="A547" s="2">
        <v>45363</v>
      </c>
      <c r="B547" t="s">
        <v>34</v>
      </c>
      <c r="C547" t="s">
        <v>11</v>
      </c>
      <c r="D547" t="s">
        <v>38</v>
      </c>
      <c r="E547" t="s">
        <v>16</v>
      </c>
      <c r="F547" t="s">
        <v>39</v>
      </c>
      <c r="G547">
        <v>1</v>
      </c>
      <c r="H547" s="1">
        <v>4798162</v>
      </c>
      <c r="I547" s="1">
        <v>3598621</v>
      </c>
      <c r="J547" t="s">
        <v>29</v>
      </c>
      <c r="K547" s="1">
        <f>Tabla1[[#This Row],[cantidad]]*Tabla1[[#This Row],[precio_unitario]]</f>
        <v>4798162</v>
      </c>
      <c r="L547" s="1">
        <f>Tabla1[[#This Row],[cantidad]]*Tabla1[[#This Row],[costo_unitario]]</f>
        <v>3598621</v>
      </c>
      <c r="M547" s="1">
        <f>Tabla1[[#This Row],[venta_total]]-Tabla1[[#This Row],[costo_total]]</f>
        <v>1199541</v>
      </c>
      <c r="N547" s="3">
        <f>Tabla1[[#This Row],[margen]]/Tabla1[[#This Row],[venta_total]]</f>
        <v>0.2500001042065691</v>
      </c>
    </row>
    <row r="548" spans="1:14" x14ac:dyDescent="0.25">
      <c r="A548" s="2">
        <v>45296</v>
      </c>
      <c r="B548" t="s">
        <v>18</v>
      </c>
      <c r="C548" t="s">
        <v>11</v>
      </c>
      <c r="D548" t="s">
        <v>38</v>
      </c>
      <c r="E548" t="s">
        <v>20</v>
      </c>
      <c r="F548" t="s">
        <v>42</v>
      </c>
      <c r="G548">
        <v>1</v>
      </c>
      <c r="H548" s="1">
        <v>3081328</v>
      </c>
      <c r="I548" s="1">
        <v>2218556</v>
      </c>
      <c r="J548" t="s">
        <v>31</v>
      </c>
      <c r="K548" s="1">
        <f>Tabla1[[#This Row],[cantidad]]*Tabla1[[#This Row],[precio_unitario]]</f>
        <v>3081328</v>
      </c>
      <c r="L548" s="1">
        <f>Tabla1[[#This Row],[cantidad]]*Tabla1[[#This Row],[costo_unitario]]</f>
        <v>2218556</v>
      </c>
      <c r="M548" s="1">
        <f>Tabla1[[#This Row],[venta_total]]-Tabla1[[#This Row],[costo_total]]</f>
        <v>862772</v>
      </c>
      <c r="N548" s="3">
        <f>Tabla1[[#This Row],[margen]]/Tabla1[[#This Row],[venta_total]]</f>
        <v>0.28000005192566324</v>
      </c>
    </row>
    <row r="549" spans="1:14" x14ac:dyDescent="0.25">
      <c r="A549" s="2">
        <v>45459</v>
      </c>
      <c r="B549" t="s">
        <v>18</v>
      </c>
      <c r="C549" t="s">
        <v>11</v>
      </c>
      <c r="D549" t="s">
        <v>23</v>
      </c>
      <c r="E549" t="s">
        <v>16</v>
      </c>
      <c r="F549" t="s">
        <v>24</v>
      </c>
      <c r="G549">
        <v>1</v>
      </c>
      <c r="H549" s="1">
        <v>1698821</v>
      </c>
      <c r="I549" s="1">
        <v>1274115</v>
      </c>
      <c r="J549" t="s">
        <v>31</v>
      </c>
      <c r="K549" s="1">
        <f>Tabla1[[#This Row],[cantidad]]*Tabla1[[#This Row],[precio_unitario]]</f>
        <v>1698821</v>
      </c>
      <c r="L549" s="1">
        <f>Tabla1[[#This Row],[cantidad]]*Tabla1[[#This Row],[costo_unitario]]</f>
        <v>1274115</v>
      </c>
      <c r="M549" s="1">
        <f>Tabla1[[#This Row],[venta_total]]-Tabla1[[#This Row],[costo_total]]</f>
        <v>424706</v>
      </c>
      <c r="N549" s="3">
        <f>Tabla1[[#This Row],[margen]]/Tabla1[[#This Row],[venta_total]]</f>
        <v>0.25000044148265177</v>
      </c>
    </row>
    <row r="550" spans="1:14" x14ac:dyDescent="0.25">
      <c r="A550" s="2">
        <v>45310</v>
      </c>
      <c r="B550" t="s">
        <v>18</v>
      </c>
      <c r="C550" t="s">
        <v>11</v>
      </c>
      <c r="D550" t="s">
        <v>12</v>
      </c>
      <c r="E550" t="s">
        <v>16</v>
      </c>
      <c r="F550" t="s">
        <v>17</v>
      </c>
      <c r="G550">
        <v>1</v>
      </c>
      <c r="H550" s="1">
        <v>2939051</v>
      </c>
      <c r="I550" s="1">
        <v>2292459</v>
      </c>
      <c r="J550" t="s">
        <v>15</v>
      </c>
      <c r="K550" s="1">
        <f>Tabla1[[#This Row],[cantidad]]*Tabla1[[#This Row],[precio_unitario]]</f>
        <v>2939051</v>
      </c>
      <c r="L550" s="1">
        <f>Tabla1[[#This Row],[cantidad]]*Tabla1[[#This Row],[costo_unitario]]</f>
        <v>2292459</v>
      </c>
      <c r="M550" s="1">
        <f>Tabla1[[#This Row],[venta_total]]-Tabla1[[#This Row],[costo_total]]</f>
        <v>646592</v>
      </c>
      <c r="N550" s="3">
        <f>Tabla1[[#This Row],[margen]]/Tabla1[[#This Row],[venta_total]]</f>
        <v>0.22000026539178802</v>
      </c>
    </row>
    <row r="551" spans="1:14" x14ac:dyDescent="0.25">
      <c r="A551" s="2">
        <v>45315</v>
      </c>
      <c r="B551" t="s">
        <v>34</v>
      </c>
      <c r="C551" t="s">
        <v>11</v>
      </c>
      <c r="D551" t="s">
        <v>19</v>
      </c>
      <c r="E551" t="s">
        <v>20</v>
      </c>
      <c r="F551" t="s">
        <v>21</v>
      </c>
      <c r="G551">
        <v>1</v>
      </c>
      <c r="H551" s="1">
        <v>362934</v>
      </c>
      <c r="I551" s="1">
        <v>217760</v>
      </c>
      <c r="J551" t="s">
        <v>25</v>
      </c>
      <c r="K551" s="1">
        <f>Tabla1[[#This Row],[cantidad]]*Tabla1[[#This Row],[precio_unitario]]</f>
        <v>362934</v>
      </c>
      <c r="L551" s="1">
        <f>Tabla1[[#This Row],[cantidad]]*Tabla1[[#This Row],[costo_unitario]]</f>
        <v>217760</v>
      </c>
      <c r="M551" s="1">
        <f>Tabla1[[#This Row],[venta_total]]-Tabla1[[#This Row],[costo_total]]</f>
        <v>145174</v>
      </c>
      <c r="N551" s="3">
        <f>Tabla1[[#This Row],[margen]]/Tabla1[[#This Row],[venta_total]]</f>
        <v>0.40000110212876172</v>
      </c>
    </row>
    <row r="552" spans="1:14" x14ac:dyDescent="0.25">
      <c r="A552" s="2">
        <v>45413</v>
      </c>
      <c r="B552" t="s">
        <v>32</v>
      </c>
      <c r="C552" t="s">
        <v>11</v>
      </c>
      <c r="D552" t="s">
        <v>23</v>
      </c>
      <c r="E552" t="s">
        <v>13</v>
      </c>
      <c r="F552" t="s">
        <v>28</v>
      </c>
      <c r="G552">
        <v>1</v>
      </c>
      <c r="H552" s="1">
        <v>2881530</v>
      </c>
      <c r="I552" s="1">
        <v>2305224</v>
      </c>
      <c r="J552" t="s">
        <v>25</v>
      </c>
      <c r="K552" s="1">
        <f>Tabla1[[#This Row],[cantidad]]*Tabla1[[#This Row],[precio_unitario]]</f>
        <v>2881530</v>
      </c>
      <c r="L552" s="1">
        <f>Tabla1[[#This Row],[cantidad]]*Tabla1[[#This Row],[costo_unitario]]</f>
        <v>2305224</v>
      </c>
      <c r="M552" s="1">
        <f>Tabla1[[#This Row],[venta_total]]-Tabla1[[#This Row],[costo_total]]</f>
        <v>576306</v>
      </c>
      <c r="N552" s="3">
        <f>Tabla1[[#This Row],[margen]]/Tabla1[[#This Row],[venta_total]]</f>
        <v>0.2</v>
      </c>
    </row>
    <row r="553" spans="1:14" x14ac:dyDescent="0.25">
      <c r="A553" s="2">
        <v>45371</v>
      </c>
      <c r="B553" t="s">
        <v>32</v>
      </c>
      <c r="C553" t="s">
        <v>11</v>
      </c>
      <c r="D553" t="s">
        <v>23</v>
      </c>
      <c r="E553" t="s">
        <v>13</v>
      </c>
      <c r="F553" t="s">
        <v>28</v>
      </c>
      <c r="G553">
        <v>1</v>
      </c>
      <c r="H553" s="1">
        <v>3120751</v>
      </c>
      <c r="I553" s="1">
        <v>2496600</v>
      </c>
      <c r="J553" t="s">
        <v>22</v>
      </c>
      <c r="K553" s="1">
        <f>Tabla1[[#This Row],[cantidad]]*Tabla1[[#This Row],[precio_unitario]]</f>
        <v>3120751</v>
      </c>
      <c r="L553" s="1">
        <f>Tabla1[[#This Row],[cantidad]]*Tabla1[[#This Row],[costo_unitario]]</f>
        <v>2496600</v>
      </c>
      <c r="M553" s="1">
        <f>Tabla1[[#This Row],[venta_total]]-Tabla1[[#This Row],[costo_total]]</f>
        <v>624151</v>
      </c>
      <c r="N553" s="3">
        <f>Tabla1[[#This Row],[margen]]/Tabla1[[#This Row],[venta_total]]</f>
        <v>0.20000025634855201</v>
      </c>
    </row>
    <row r="554" spans="1:14" x14ac:dyDescent="0.25">
      <c r="A554" s="2">
        <v>45444</v>
      </c>
      <c r="B554" t="s">
        <v>10</v>
      </c>
      <c r="C554" t="s">
        <v>11</v>
      </c>
      <c r="D554" t="s">
        <v>19</v>
      </c>
      <c r="E554" t="s">
        <v>16</v>
      </c>
      <c r="F554" t="s">
        <v>35</v>
      </c>
      <c r="G554">
        <v>1</v>
      </c>
      <c r="H554" s="1">
        <v>1098640</v>
      </c>
      <c r="I554" s="1">
        <v>714116</v>
      </c>
      <c r="J554" t="s">
        <v>25</v>
      </c>
      <c r="K554" s="1">
        <f>Tabla1[[#This Row],[cantidad]]*Tabla1[[#This Row],[precio_unitario]]</f>
        <v>1098640</v>
      </c>
      <c r="L554" s="1">
        <f>Tabla1[[#This Row],[cantidad]]*Tabla1[[#This Row],[costo_unitario]]</f>
        <v>714116</v>
      </c>
      <c r="M554" s="1">
        <f>Tabla1[[#This Row],[venta_total]]-Tabla1[[#This Row],[costo_total]]</f>
        <v>384524</v>
      </c>
      <c r="N554" s="3">
        <f>Tabla1[[#This Row],[margen]]/Tabla1[[#This Row],[venta_total]]</f>
        <v>0.35</v>
      </c>
    </row>
    <row r="555" spans="1:14" x14ac:dyDescent="0.25">
      <c r="A555" s="2">
        <v>45469</v>
      </c>
      <c r="B555" t="s">
        <v>18</v>
      </c>
      <c r="C555" t="s">
        <v>11</v>
      </c>
      <c r="D555" t="s">
        <v>38</v>
      </c>
      <c r="E555" t="s">
        <v>16</v>
      </c>
      <c r="F555" t="s">
        <v>39</v>
      </c>
      <c r="G555">
        <v>1</v>
      </c>
      <c r="H555" s="1">
        <v>5085933</v>
      </c>
      <c r="I555" s="1">
        <v>3814449</v>
      </c>
      <c r="J555" t="s">
        <v>31</v>
      </c>
      <c r="K555" s="1">
        <f>Tabla1[[#This Row],[cantidad]]*Tabla1[[#This Row],[precio_unitario]]</f>
        <v>5085933</v>
      </c>
      <c r="L555" s="1">
        <f>Tabla1[[#This Row],[cantidad]]*Tabla1[[#This Row],[costo_unitario]]</f>
        <v>3814449</v>
      </c>
      <c r="M555" s="1">
        <f>Tabla1[[#This Row],[venta_total]]-Tabla1[[#This Row],[costo_total]]</f>
        <v>1271484</v>
      </c>
      <c r="N555" s="3">
        <f>Tabla1[[#This Row],[margen]]/Tabla1[[#This Row],[venta_total]]</f>
        <v>0.25000014746556826</v>
      </c>
    </row>
    <row r="556" spans="1:14" x14ac:dyDescent="0.25">
      <c r="A556" s="2">
        <v>45466</v>
      </c>
      <c r="B556" t="s">
        <v>18</v>
      </c>
      <c r="C556" t="s">
        <v>11</v>
      </c>
      <c r="D556" t="s">
        <v>23</v>
      </c>
      <c r="E556" t="s">
        <v>20</v>
      </c>
      <c r="F556" t="s">
        <v>30</v>
      </c>
      <c r="G556">
        <v>1</v>
      </c>
      <c r="H556" s="1">
        <v>1272731</v>
      </c>
      <c r="I556" s="1">
        <v>890911</v>
      </c>
      <c r="J556" t="s">
        <v>29</v>
      </c>
      <c r="K556" s="1">
        <f>Tabla1[[#This Row],[cantidad]]*Tabla1[[#This Row],[precio_unitario]]</f>
        <v>1272731</v>
      </c>
      <c r="L556" s="1">
        <f>Tabla1[[#This Row],[cantidad]]*Tabla1[[#This Row],[costo_unitario]]</f>
        <v>890911</v>
      </c>
      <c r="M556" s="1">
        <f>Tabla1[[#This Row],[venta_total]]-Tabla1[[#This Row],[costo_total]]</f>
        <v>381820</v>
      </c>
      <c r="N556" s="3">
        <f>Tabla1[[#This Row],[margen]]/Tabla1[[#This Row],[venta_total]]</f>
        <v>0.30000054999838927</v>
      </c>
    </row>
    <row r="557" spans="1:14" x14ac:dyDescent="0.25">
      <c r="A557" s="2">
        <v>45473</v>
      </c>
      <c r="B557" t="s">
        <v>18</v>
      </c>
      <c r="C557" t="s">
        <v>11</v>
      </c>
      <c r="D557" t="s">
        <v>12</v>
      </c>
      <c r="E557" t="s">
        <v>13</v>
      </c>
      <c r="F557" t="s">
        <v>14</v>
      </c>
      <c r="G557">
        <v>1</v>
      </c>
      <c r="H557" s="1">
        <v>4525737</v>
      </c>
      <c r="I557" s="1">
        <v>3620589</v>
      </c>
      <c r="J557" t="s">
        <v>31</v>
      </c>
      <c r="K557" s="1">
        <f>Tabla1[[#This Row],[cantidad]]*Tabla1[[#This Row],[precio_unitario]]</f>
        <v>4525737</v>
      </c>
      <c r="L557" s="1">
        <f>Tabla1[[#This Row],[cantidad]]*Tabla1[[#This Row],[costo_unitario]]</f>
        <v>3620589</v>
      </c>
      <c r="M557" s="1">
        <f>Tabla1[[#This Row],[venta_total]]-Tabla1[[#This Row],[costo_total]]</f>
        <v>905148</v>
      </c>
      <c r="N557" s="3">
        <f>Tabla1[[#This Row],[margen]]/Tabla1[[#This Row],[venta_total]]</f>
        <v>0.20000013257509219</v>
      </c>
    </row>
    <row r="558" spans="1:14" x14ac:dyDescent="0.25">
      <c r="A558" s="2">
        <v>45466</v>
      </c>
      <c r="B558" t="s">
        <v>34</v>
      </c>
      <c r="C558" t="s">
        <v>11</v>
      </c>
      <c r="D558" t="s">
        <v>38</v>
      </c>
      <c r="E558" t="s">
        <v>20</v>
      </c>
      <c r="F558" t="s">
        <v>42</v>
      </c>
      <c r="G558">
        <v>1</v>
      </c>
      <c r="H558" s="1">
        <v>2377441</v>
      </c>
      <c r="I558" s="1">
        <v>1711757</v>
      </c>
      <c r="J558" t="s">
        <v>15</v>
      </c>
      <c r="K558" s="1">
        <f>Tabla1[[#This Row],[cantidad]]*Tabla1[[#This Row],[precio_unitario]]</f>
        <v>2377441</v>
      </c>
      <c r="L558" s="1">
        <f>Tabla1[[#This Row],[cantidad]]*Tabla1[[#This Row],[costo_unitario]]</f>
        <v>1711757</v>
      </c>
      <c r="M558" s="1">
        <f>Tabla1[[#This Row],[venta_total]]-Tabla1[[#This Row],[costo_total]]</f>
        <v>665684</v>
      </c>
      <c r="N558" s="3">
        <f>Tabla1[[#This Row],[margen]]/Tabla1[[#This Row],[venta_total]]</f>
        <v>0.2800002187225677</v>
      </c>
    </row>
    <row r="559" spans="1:14" x14ac:dyDescent="0.25">
      <c r="A559" s="2">
        <v>45468</v>
      </c>
      <c r="B559" t="s">
        <v>10</v>
      </c>
      <c r="C559" t="s">
        <v>11</v>
      </c>
      <c r="D559" t="s">
        <v>12</v>
      </c>
      <c r="E559" t="s">
        <v>16</v>
      </c>
      <c r="F559" t="s">
        <v>17</v>
      </c>
      <c r="G559">
        <v>1</v>
      </c>
      <c r="H559" s="1">
        <v>3005799</v>
      </c>
      <c r="I559" s="1">
        <v>2344523</v>
      </c>
      <c r="J559" t="s">
        <v>15</v>
      </c>
      <c r="K559" s="1">
        <f>Tabla1[[#This Row],[cantidad]]*Tabla1[[#This Row],[precio_unitario]]</f>
        <v>3005799</v>
      </c>
      <c r="L559" s="1">
        <f>Tabla1[[#This Row],[cantidad]]*Tabla1[[#This Row],[costo_unitario]]</f>
        <v>2344523</v>
      </c>
      <c r="M559" s="1">
        <f>Tabla1[[#This Row],[venta_total]]-Tabla1[[#This Row],[costo_total]]</f>
        <v>661276</v>
      </c>
      <c r="N559" s="3">
        <f>Tabla1[[#This Row],[margen]]/Tabla1[[#This Row],[venta_total]]</f>
        <v>0.22000007319185347</v>
      </c>
    </row>
    <row r="560" spans="1:14" x14ac:dyDescent="0.25">
      <c r="A560" s="2">
        <v>45407</v>
      </c>
      <c r="B560" t="s">
        <v>18</v>
      </c>
      <c r="C560" t="s">
        <v>11</v>
      </c>
      <c r="D560" t="s">
        <v>26</v>
      </c>
      <c r="E560" t="s">
        <v>20</v>
      </c>
      <c r="F560" t="s">
        <v>36</v>
      </c>
      <c r="G560">
        <v>1</v>
      </c>
      <c r="H560" s="1">
        <v>2411697</v>
      </c>
      <c r="I560" s="1">
        <v>1808772</v>
      </c>
      <c r="J560" t="s">
        <v>31</v>
      </c>
      <c r="K560" s="1">
        <f>Tabla1[[#This Row],[cantidad]]*Tabla1[[#This Row],[precio_unitario]]</f>
        <v>2411697</v>
      </c>
      <c r="L560" s="1">
        <f>Tabla1[[#This Row],[cantidad]]*Tabla1[[#This Row],[costo_unitario]]</f>
        <v>1808772</v>
      </c>
      <c r="M560" s="1">
        <f>Tabla1[[#This Row],[venta_total]]-Tabla1[[#This Row],[costo_total]]</f>
        <v>602925</v>
      </c>
      <c r="N560" s="3">
        <f>Tabla1[[#This Row],[margen]]/Tabla1[[#This Row],[venta_total]]</f>
        <v>0.25000031098434006</v>
      </c>
    </row>
    <row r="561" spans="1:14" x14ac:dyDescent="0.25">
      <c r="A561" s="2">
        <v>45357</v>
      </c>
      <c r="B561" t="s">
        <v>10</v>
      </c>
      <c r="C561" t="s">
        <v>11</v>
      </c>
      <c r="D561" t="s">
        <v>26</v>
      </c>
      <c r="E561" t="s">
        <v>20</v>
      </c>
      <c r="F561" t="s">
        <v>36</v>
      </c>
      <c r="G561">
        <v>1</v>
      </c>
      <c r="H561" s="1">
        <v>2473082</v>
      </c>
      <c r="I561" s="1">
        <v>1854811</v>
      </c>
      <c r="J561" t="s">
        <v>25</v>
      </c>
      <c r="K561" s="1">
        <f>Tabla1[[#This Row],[cantidad]]*Tabla1[[#This Row],[precio_unitario]]</f>
        <v>2473082</v>
      </c>
      <c r="L561" s="1">
        <f>Tabla1[[#This Row],[cantidad]]*Tabla1[[#This Row],[costo_unitario]]</f>
        <v>1854811</v>
      </c>
      <c r="M561" s="1">
        <f>Tabla1[[#This Row],[venta_total]]-Tabla1[[#This Row],[costo_total]]</f>
        <v>618271</v>
      </c>
      <c r="N561" s="3">
        <f>Tabla1[[#This Row],[margen]]/Tabla1[[#This Row],[venta_total]]</f>
        <v>0.25000020217687891</v>
      </c>
    </row>
    <row r="562" spans="1:14" x14ac:dyDescent="0.25">
      <c r="A562" s="2">
        <v>45318</v>
      </c>
      <c r="B562" t="s">
        <v>34</v>
      </c>
      <c r="C562" t="s">
        <v>11</v>
      </c>
      <c r="D562" t="s">
        <v>12</v>
      </c>
      <c r="E562" t="s">
        <v>16</v>
      </c>
      <c r="F562" t="s">
        <v>17</v>
      </c>
      <c r="G562">
        <v>1</v>
      </c>
      <c r="H562" s="1">
        <v>3218208</v>
      </c>
      <c r="I562" s="1">
        <v>2510202</v>
      </c>
      <c r="J562" t="s">
        <v>22</v>
      </c>
      <c r="K562" s="1">
        <f>Tabla1[[#This Row],[cantidad]]*Tabla1[[#This Row],[precio_unitario]]</f>
        <v>3218208</v>
      </c>
      <c r="L562" s="1">
        <f>Tabla1[[#This Row],[cantidad]]*Tabla1[[#This Row],[costo_unitario]]</f>
        <v>2510202</v>
      </c>
      <c r="M562" s="1">
        <f>Tabla1[[#This Row],[venta_total]]-Tabla1[[#This Row],[costo_total]]</f>
        <v>708006</v>
      </c>
      <c r="N562" s="3">
        <f>Tabla1[[#This Row],[margen]]/Tabla1[[#This Row],[venta_total]]</f>
        <v>0.22000007457566448</v>
      </c>
    </row>
    <row r="563" spans="1:14" x14ac:dyDescent="0.25">
      <c r="A563" s="2">
        <v>45439</v>
      </c>
      <c r="B563" t="s">
        <v>34</v>
      </c>
      <c r="C563" t="s">
        <v>11</v>
      </c>
      <c r="D563" t="s">
        <v>19</v>
      </c>
      <c r="E563" t="s">
        <v>16</v>
      </c>
      <c r="F563" t="s">
        <v>35</v>
      </c>
      <c r="G563">
        <v>1</v>
      </c>
      <c r="H563" s="1">
        <v>1123917</v>
      </c>
      <c r="I563" s="1">
        <v>730546</v>
      </c>
      <c r="J563" t="s">
        <v>15</v>
      </c>
      <c r="K563" s="1">
        <f>Tabla1[[#This Row],[cantidad]]*Tabla1[[#This Row],[precio_unitario]]</f>
        <v>1123917</v>
      </c>
      <c r="L563" s="1">
        <f>Tabla1[[#This Row],[cantidad]]*Tabla1[[#This Row],[costo_unitario]]</f>
        <v>730546</v>
      </c>
      <c r="M563" s="1">
        <f>Tabla1[[#This Row],[venta_total]]-Tabla1[[#This Row],[costo_total]]</f>
        <v>393371</v>
      </c>
      <c r="N563" s="3">
        <f>Tabla1[[#This Row],[margen]]/Tabla1[[#This Row],[venta_total]]</f>
        <v>0.35000004448727084</v>
      </c>
    </row>
    <row r="564" spans="1:14" x14ac:dyDescent="0.25">
      <c r="A564" s="2">
        <v>45382</v>
      </c>
      <c r="B564" t="s">
        <v>10</v>
      </c>
      <c r="C564" t="s">
        <v>11</v>
      </c>
      <c r="D564" t="s">
        <v>12</v>
      </c>
      <c r="E564" t="s">
        <v>16</v>
      </c>
      <c r="F564" t="s">
        <v>17</v>
      </c>
      <c r="G564">
        <v>1</v>
      </c>
      <c r="H564" s="1">
        <v>3863663</v>
      </c>
      <c r="I564" s="1">
        <v>3013657</v>
      </c>
      <c r="J564" t="s">
        <v>29</v>
      </c>
      <c r="K564" s="1">
        <f>Tabla1[[#This Row],[cantidad]]*Tabla1[[#This Row],[precio_unitario]]</f>
        <v>3863663</v>
      </c>
      <c r="L564" s="1">
        <f>Tabla1[[#This Row],[cantidad]]*Tabla1[[#This Row],[costo_unitario]]</f>
        <v>3013657</v>
      </c>
      <c r="M564" s="1">
        <f>Tabla1[[#This Row],[venta_total]]-Tabla1[[#This Row],[costo_total]]</f>
        <v>850006</v>
      </c>
      <c r="N564" s="3">
        <f>Tabla1[[#This Row],[margen]]/Tabla1[[#This Row],[venta_total]]</f>
        <v>0.2200000362350443</v>
      </c>
    </row>
    <row r="565" spans="1:14" x14ac:dyDescent="0.25">
      <c r="A565" s="2">
        <v>45361</v>
      </c>
      <c r="B565" t="s">
        <v>34</v>
      </c>
      <c r="C565" t="s">
        <v>11</v>
      </c>
      <c r="D565" t="s">
        <v>23</v>
      </c>
      <c r="E565" t="s">
        <v>20</v>
      </c>
      <c r="F565" t="s">
        <v>30</v>
      </c>
      <c r="G565">
        <v>1</v>
      </c>
      <c r="H565" s="1">
        <v>1169600</v>
      </c>
      <c r="I565" s="1">
        <v>818720</v>
      </c>
      <c r="J565" t="s">
        <v>29</v>
      </c>
      <c r="K565" s="1">
        <f>Tabla1[[#This Row],[cantidad]]*Tabla1[[#This Row],[precio_unitario]]</f>
        <v>1169600</v>
      </c>
      <c r="L565" s="1">
        <f>Tabla1[[#This Row],[cantidad]]*Tabla1[[#This Row],[costo_unitario]]</f>
        <v>818720</v>
      </c>
      <c r="M565" s="1">
        <f>Tabla1[[#This Row],[venta_total]]-Tabla1[[#This Row],[costo_total]]</f>
        <v>350880</v>
      </c>
      <c r="N565" s="3">
        <f>Tabla1[[#This Row],[margen]]/Tabla1[[#This Row],[venta_total]]</f>
        <v>0.3</v>
      </c>
    </row>
    <row r="566" spans="1:14" x14ac:dyDescent="0.25">
      <c r="A566" s="2">
        <v>45320</v>
      </c>
      <c r="B566" t="s">
        <v>32</v>
      </c>
      <c r="C566" t="s">
        <v>11</v>
      </c>
      <c r="D566" t="s">
        <v>23</v>
      </c>
      <c r="E566" t="s">
        <v>16</v>
      </c>
      <c r="F566" t="s">
        <v>24</v>
      </c>
      <c r="G566">
        <v>1</v>
      </c>
      <c r="H566" s="1">
        <v>1382270</v>
      </c>
      <c r="I566" s="1">
        <v>1036702</v>
      </c>
      <c r="J566" t="s">
        <v>15</v>
      </c>
      <c r="K566" s="1">
        <f>Tabla1[[#This Row],[cantidad]]*Tabla1[[#This Row],[precio_unitario]]</f>
        <v>1382270</v>
      </c>
      <c r="L566" s="1">
        <f>Tabla1[[#This Row],[cantidad]]*Tabla1[[#This Row],[costo_unitario]]</f>
        <v>1036702</v>
      </c>
      <c r="M566" s="1">
        <f>Tabla1[[#This Row],[venta_total]]-Tabla1[[#This Row],[costo_total]]</f>
        <v>345568</v>
      </c>
      <c r="N566" s="3">
        <f>Tabla1[[#This Row],[margen]]/Tabla1[[#This Row],[venta_total]]</f>
        <v>0.25000036172383111</v>
      </c>
    </row>
    <row r="567" spans="1:14" x14ac:dyDescent="0.25">
      <c r="A567" s="2">
        <v>45380</v>
      </c>
      <c r="B567" t="s">
        <v>10</v>
      </c>
      <c r="C567" t="s">
        <v>11</v>
      </c>
      <c r="D567" t="s">
        <v>26</v>
      </c>
      <c r="E567" t="s">
        <v>13</v>
      </c>
      <c r="F567" t="s">
        <v>27</v>
      </c>
      <c r="G567">
        <v>1</v>
      </c>
      <c r="H567" s="1">
        <v>6845414</v>
      </c>
      <c r="I567" s="1">
        <v>5476331</v>
      </c>
      <c r="J567" t="s">
        <v>15</v>
      </c>
      <c r="K567" s="1">
        <f>Tabla1[[#This Row],[cantidad]]*Tabla1[[#This Row],[precio_unitario]]</f>
        <v>6845414</v>
      </c>
      <c r="L567" s="1">
        <f>Tabla1[[#This Row],[cantidad]]*Tabla1[[#This Row],[costo_unitario]]</f>
        <v>5476331</v>
      </c>
      <c r="M567" s="1">
        <f>Tabla1[[#This Row],[venta_total]]-Tabla1[[#This Row],[costo_total]]</f>
        <v>1369083</v>
      </c>
      <c r="N567" s="3">
        <f>Tabla1[[#This Row],[margen]]/Tabla1[[#This Row],[venta_total]]</f>
        <v>0.20000002921664051</v>
      </c>
    </row>
    <row r="568" spans="1:14" x14ac:dyDescent="0.25">
      <c r="A568" s="2">
        <v>45313</v>
      </c>
      <c r="B568" t="s">
        <v>34</v>
      </c>
      <c r="C568" t="s">
        <v>11</v>
      </c>
      <c r="D568" t="s">
        <v>12</v>
      </c>
      <c r="E568" t="s">
        <v>20</v>
      </c>
      <c r="F568" t="s">
        <v>37</v>
      </c>
      <c r="G568">
        <v>1</v>
      </c>
      <c r="H568" s="1">
        <v>2050759</v>
      </c>
      <c r="I568" s="1">
        <v>1538069</v>
      </c>
      <c r="J568" t="s">
        <v>25</v>
      </c>
      <c r="K568" s="1">
        <f>Tabla1[[#This Row],[cantidad]]*Tabla1[[#This Row],[precio_unitario]]</f>
        <v>2050759</v>
      </c>
      <c r="L568" s="1">
        <f>Tabla1[[#This Row],[cantidad]]*Tabla1[[#This Row],[costo_unitario]]</f>
        <v>1538069</v>
      </c>
      <c r="M568" s="1">
        <f>Tabla1[[#This Row],[venta_total]]-Tabla1[[#This Row],[costo_total]]</f>
        <v>512690</v>
      </c>
      <c r="N568" s="3">
        <f>Tabla1[[#This Row],[margen]]/Tabla1[[#This Row],[venta_total]]</f>
        <v>0.2500001219060845</v>
      </c>
    </row>
    <row r="569" spans="1:14" x14ac:dyDescent="0.25">
      <c r="A569" s="2">
        <v>45334</v>
      </c>
      <c r="B569" t="s">
        <v>34</v>
      </c>
      <c r="C569" t="s">
        <v>11</v>
      </c>
      <c r="D569" t="s">
        <v>12</v>
      </c>
      <c r="E569" t="s">
        <v>20</v>
      </c>
      <c r="F569" t="s">
        <v>37</v>
      </c>
      <c r="G569">
        <v>1</v>
      </c>
      <c r="H569" s="1">
        <v>2150281</v>
      </c>
      <c r="I569" s="1">
        <v>1612710</v>
      </c>
      <c r="J569" t="s">
        <v>31</v>
      </c>
      <c r="K569" s="1">
        <f>Tabla1[[#This Row],[cantidad]]*Tabla1[[#This Row],[precio_unitario]]</f>
        <v>2150281</v>
      </c>
      <c r="L569" s="1">
        <f>Tabla1[[#This Row],[cantidad]]*Tabla1[[#This Row],[costo_unitario]]</f>
        <v>1612710</v>
      </c>
      <c r="M569" s="1">
        <f>Tabla1[[#This Row],[venta_total]]-Tabla1[[#This Row],[costo_total]]</f>
        <v>537571</v>
      </c>
      <c r="N569" s="3">
        <f>Tabla1[[#This Row],[margen]]/Tabla1[[#This Row],[venta_total]]</f>
        <v>0.25000034879162303</v>
      </c>
    </row>
    <row r="570" spans="1:14" x14ac:dyDescent="0.25">
      <c r="A570" s="2">
        <v>45341</v>
      </c>
      <c r="B570" t="s">
        <v>34</v>
      </c>
      <c r="C570" t="s">
        <v>11</v>
      </c>
      <c r="D570" t="s">
        <v>38</v>
      </c>
      <c r="E570" t="s">
        <v>13</v>
      </c>
      <c r="F570" t="s">
        <v>41</v>
      </c>
      <c r="G570">
        <v>1</v>
      </c>
      <c r="H570" s="1">
        <v>7859161</v>
      </c>
      <c r="I570" s="1">
        <v>6287328</v>
      </c>
      <c r="J570" t="s">
        <v>25</v>
      </c>
      <c r="K570" s="1">
        <f>Tabla1[[#This Row],[cantidad]]*Tabla1[[#This Row],[precio_unitario]]</f>
        <v>7859161</v>
      </c>
      <c r="L570" s="1">
        <f>Tabla1[[#This Row],[cantidad]]*Tabla1[[#This Row],[costo_unitario]]</f>
        <v>6287328</v>
      </c>
      <c r="M570" s="1">
        <f>Tabla1[[#This Row],[venta_total]]-Tabla1[[#This Row],[costo_total]]</f>
        <v>1571833</v>
      </c>
      <c r="N570" s="3">
        <f>Tabla1[[#This Row],[margen]]/Tabla1[[#This Row],[venta_total]]</f>
        <v>0.20000010179203606</v>
      </c>
    </row>
    <row r="571" spans="1:14" x14ac:dyDescent="0.25">
      <c r="A571" s="2">
        <v>45371</v>
      </c>
      <c r="B571" t="s">
        <v>10</v>
      </c>
      <c r="C571" t="s">
        <v>11</v>
      </c>
      <c r="D571" t="s">
        <v>38</v>
      </c>
      <c r="E571" t="s">
        <v>20</v>
      </c>
      <c r="F571" t="s">
        <v>42</v>
      </c>
      <c r="G571">
        <v>1</v>
      </c>
      <c r="H571" s="1">
        <v>2353524</v>
      </c>
      <c r="I571" s="1">
        <v>1694537</v>
      </c>
      <c r="J571" t="s">
        <v>31</v>
      </c>
      <c r="K571" s="1">
        <f>Tabla1[[#This Row],[cantidad]]*Tabla1[[#This Row],[precio_unitario]]</f>
        <v>2353524</v>
      </c>
      <c r="L571" s="1">
        <f>Tabla1[[#This Row],[cantidad]]*Tabla1[[#This Row],[costo_unitario]]</f>
        <v>1694537</v>
      </c>
      <c r="M571" s="1">
        <f>Tabla1[[#This Row],[venta_total]]-Tabla1[[#This Row],[costo_total]]</f>
        <v>658987</v>
      </c>
      <c r="N571" s="3">
        <f>Tabla1[[#This Row],[margen]]/Tabla1[[#This Row],[venta_total]]</f>
        <v>0.28000011897053101</v>
      </c>
    </row>
    <row r="572" spans="1:14" x14ac:dyDescent="0.25">
      <c r="A572" s="2">
        <v>45400</v>
      </c>
      <c r="B572" t="s">
        <v>10</v>
      </c>
      <c r="C572" t="s">
        <v>11</v>
      </c>
      <c r="D572" t="s">
        <v>26</v>
      </c>
      <c r="E572" t="s">
        <v>20</v>
      </c>
      <c r="F572" t="s">
        <v>36</v>
      </c>
      <c r="G572">
        <v>1</v>
      </c>
      <c r="H572" s="1">
        <v>2041727</v>
      </c>
      <c r="I572" s="1">
        <v>1531295</v>
      </c>
      <c r="J572" t="s">
        <v>22</v>
      </c>
      <c r="K572" s="1">
        <f>Tabla1[[#This Row],[cantidad]]*Tabla1[[#This Row],[precio_unitario]]</f>
        <v>2041727</v>
      </c>
      <c r="L572" s="1">
        <f>Tabla1[[#This Row],[cantidad]]*Tabla1[[#This Row],[costo_unitario]]</f>
        <v>1531295</v>
      </c>
      <c r="M572" s="1">
        <f>Tabla1[[#This Row],[venta_total]]-Tabla1[[#This Row],[costo_total]]</f>
        <v>510432</v>
      </c>
      <c r="N572" s="3">
        <f>Tabla1[[#This Row],[margen]]/Tabla1[[#This Row],[venta_total]]</f>
        <v>0.25000012244536118</v>
      </c>
    </row>
    <row r="573" spans="1:14" x14ac:dyDescent="0.25">
      <c r="A573" s="2">
        <v>45465</v>
      </c>
      <c r="B573" t="s">
        <v>10</v>
      </c>
      <c r="C573" t="s">
        <v>11</v>
      </c>
      <c r="D573" t="s">
        <v>19</v>
      </c>
      <c r="E573" t="s">
        <v>16</v>
      </c>
      <c r="F573" t="s">
        <v>35</v>
      </c>
      <c r="G573">
        <v>1</v>
      </c>
      <c r="H573" s="1">
        <v>1061797</v>
      </c>
      <c r="I573" s="1">
        <v>690168</v>
      </c>
      <c r="J573" t="s">
        <v>31</v>
      </c>
      <c r="K573" s="1">
        <f>Tabla1[[#This Row],[cantidad]]*Tabla1[[#This Row],[precio_unitario]]</f>
        <v>1061797</v>
      </c>
      <c r="L573" s="1">
        <f>Tabla1[[#This Row],[cantidad]]*Tabla1[[#This Row],[costo_unitario]]</f>
        <v>690168</v>
      </c>
      <c r="M573" s="1">
        <f>Tabla1[[#This Row],[venta_total]]-Tabla1[[#This Row],[costo_total]]</f>
        <v>371629</v>
      </c>
      <c r="N573" s="3">
        <f>Tabla1[[#This Row],[margen]]/Tabla1[[#This Row],[venta_total]]</f>
        <v>0.3500000470899805</v>
      </c>
    </row>
    <row r="574" spans="1:14" x14ac:dyDescent="0.25">
      <c r="A574" s="2">
        <v>45419</v>
      </c>
      <c r="B574" t="s">
        <v>10</v>
      </c>
      <c r="C574" t="s">
        <v>11</v>
      </c>
      <c r="D574" t="s">
        <v>19</v>
      </c>
      <c r="E574" t="s">
        <v>13</v>
      </c>
      <c r="F574" t="s">
        <v>33</v>
      </c>
      <c r="G574">
        <v>2</v>
      </c>
      <c r="H574" s="1">
        <v>1750506</v>
      </c>
      <c r="I574" s="1">
        <v>1225354</v>
      </c>
      <c r="J574" t="s">
        <v>31</v>
      </c>
      <c r="K574" s="1">
        <f>Tabla1[[#This Row],[cantidad]]*Tabla1[[#This Row],[precio_unitario]]</f>
        <v>3501012</v>
      </c>
      <c r="L574" s="1">
        <f>Tabla1[[#This Row],[cantidad]]*Tabla1[[#This Row],[costo_unitario]]</f>
        <v>2450708</v>
      </c>
      <c r="M574" s="1">
        <f>Tabla1[[#This Row],[venta_total]]-Tabla1[[#This Row],[costo_total]]</f>
        <v>1050304</v>
      </c>
      <c r="N574" s="3">
        <f>Tabla1[[#This Row],[margen]]/Tabla1[[#This Row],[venta_total]]</f>
        <v>0.30000011425267892</v>
      </c>
    </row>
    <row r="575" spans="1:14" x14ac:dyDescent="0.25">
      <c r="A575" s="2">
        <v>45351</v>
      </c>
      <c r="B575" t="s">
        <v>32</v>
      </c>
      <c r="C575" t="s">
        <v>11</v>
      </c>
      <c r="D575" t="s">
        <v>19</v>
      </c>
      <c r="E575" t="s">
        <v>16</v>
      </c>
      <c r="F575" t="s">
        <v>35</v>
      </c>
      <c r="G575">
        <v>1</v>
      </c>
      <c r="H575" s="1">
        <v>602674</v>
      </c>
      <c r="I575" s="1">
        <v>391738</v>
      </c>
      <c r="J575" t="s">
        <v>31</v>
      </c>
      <c r="K575" s="1">
        <f>Tabla1[[#This Row],[cantidad]]*Tabla1[[#This Row],[precio_unitario]]</f>
        <v>602674</v>
      </c>
      <c r="L575" s="1">
        <f>Tabla1[[#This Row],[cantidad]]*Tabla1[[#This Row],[costo_unitario]]</f>
        <v>391738</v>
      </c>
      <c r="M575" s="1">
        <f>Tabla1[[#This Row],[venta_total]]-Tabla1[[#This Row],[costo_total]]</f>
        <v>210936</v>
      </c>
      <c r="N575" s="3">
        <f>Tabla1[[#This Row],[margen]]/Tabla1[[#This Row],[venta_total]]</f>
        <v>0.35000016592718453</v>
      </c>
    </row>
    <row r="576" spans="1:14" x14ac:dyDescent="0.25">
      <c r="A576" s="2">
        <v>45420</v>
      </c>
      <c r="B576" t="s">
        <v>18</v>
      </c>
      <c r="C576" t="s">
        <v>11</v>
      </c>
      <c r="D576" t="s">
        <v>38</v>
      </c>
      <c r="E576" t="s">
        <v>20</v>
      </c>
      <c r="F576" t="s">
        <v>42</v>
      </c>
      <c r="G576">
        <v>1</v>
      </c>
      <c r="H576" s="1">
        <v>3363763</v>
      </c>
      <c r="I576" s="1">
        <v>2421909</v>
      </c>
      <c r="J576" t="s">
        <v>25</v>
      </c>
      <c r="K576" s="1">
        <f>Tabla1[[#This Row],[cantidad]]*Tabla1[[#This Row],[precio_unitario]]</f>
        <v>3363763</v>
      </c>
      <c r="L576" s="1">
        <f>Tabla1[[#This Row],[cantidad]]*Tabla1[[#This Row],[costo_unitario]]</f>
        <v>2421909</v>
      </c>
      <c r="M576" s="1">
        <f>Tabla1[[#This Row],[venta_total]]-Tabla1[[#This Row],[costo_total]]</f>
        <v>941854</v>
      </c>
      <c r="N576" s="3">
        <f>Tabla1[[#This Row],[margen]]/Tabla1[[#This Row],[venta_total]]</f>
        <v>0.28000010702299777</v>
      </c>
    </row>
    <row r="577" spans="1:14" x14ac:dyDescent="0.25">
      <c r="A577" s="2">
        <v>45322</v>
      </c>
      <c r="B577" t="s">
        <v>18</v>
      </c>
      <c r="C577" t="s">
        <v>11</v>
      </c>
      <c r="D577" t="s">
        <v>12</v>
      </c>
      <c r="E577" t="s">
        <v>13</v>
      </c>
      <c r="F577" t="s">
        <v>14</v>
      </c>
      <c r="G577">
        <v>1</v>
      </c>
      <c r="H577" s="1">
        <v>4789065</v>
      </c>
      <c r="I577" s="1">
        <v>3831252</v>
      </c>
      <c r="J577" t="s">
        <v>25</v>
      </c>
      <c r="K577" s="1">
        <f>Tabla1[[#This Row],[cantidad]]*Tabla1[[#This Row],[precio_unitario]]</f>
        <v>4789065</v>
      </c>
      <c r="L577" s="1">
        <f>Tabla1[[#This Row],[cantidad]]*Tabla1[[#This Row],[costo_unitario]]</f>
        <v>3831252</v>
      </c>
      <c r="M577" s="1">
        <f>Tabla1[[#This Row],[venta_total]]-Tabla1[[#This Row],[costo_total]]</f>
        <v>957813</v>
      </c>
      <c r="N577" s="3">
        <f>Tabla1[[#This Row],[margen]]/Tabla1[[#This Row],[venta_total]]</f>
        <v>0.2</v>
      </c>
    </row>
    <row r="578" spans="1:14" x14ac:dyDescent="0.25">
      <c r="A578" s="2">
        <v>45357</v>
      </c>
      <c r="B578" t="s">
        <v>10</v>
      </c>
      <c r="C578" t="s">
        <v>11</v>
      </c>
      <c r="D578" t="s">
        <v>38</v>
      </c>
      <c r="E578" t="s">
        <v>13</v>
      </c>
      <c r="F578" t="s">
        <v>41</v>
      </c>
      <c r="G578">
        <v>1</v>
      </c>
      <c r="H578" s="1">
        <v>7111825</v>
      </c>
      <c r="I578" s="1">
        <v>5689460</v>
      </c>
      <c r="J578" t="s">
        <v>31</v>
      </c>
      <c r="K578" s="1">
        <f>Tabla1[[#This Row],[cantidad]]*Tabla1[[#This Row],[precio_unitario]]</f>
        <v>7111825</v>
      </c>
      <c r="L578" s="1">
        <f>Tabla1[[#This Row],[cantidad]]*Tabla1[[#This Row],[costo_unitario]]</f>
        <v>5689460</v>
      </c>
      <c r="M578" s="1">
        <f>Tabla1[[#This Row],[venta_total]]-Tabla1[[#This Row],[costo_total]]</f>
        <v>1422365</v>
      </c>
      <c r="N578" s="3">
        <f>Tabla1[[#This Row],[margen]]/Tabla1[[#This Row],[venta_total]]</f>
        <v>0.2</v>
      </c>
    </row>
    <row r="579" spans="1:14" x14ac:dyDescent="0.25">
      <c r="A579" s="2">
        <v>45398</v>
      </c>
      <c r="B579" t="s">
        <v>34</v>
      </c>
      <c r="C579" t="s">
        <v>11</v>
      </c>
      <c r="D579" t="s">
        <v>38</v>
      </c>
      <c r="E579" t="s">
        <v>13</v>
      </c>
      <c r="F579" t="s">
        <v>41</v>
      </c>
      <c r="G579">
        <v>1</v>
      </c>
      <c r="H579" s="1">
        <v>7801816</v>
      </c>
      <c r="I579" s="1">
        <v>6241452</v>
      </c>
      <c r="J579" t="s">
        <v>31</v>
      </c>
      <c r="K579" s="1">
        <f>Tabla1[[#This Row],[cantidad]]*Tabla1[[#This Row],[precio_unitario]]</f>
        <v>7801816</v>
      </c>
      <c r="L579" s="1">
        <f>Tabla1[[#This Row],[cantidad]]*Tabla1[[#This Row],[costo_unitario]]</f>
        <v>6241452</v>
      </c>
      <c r="M579" s="1">
        <f>Tabla1[[#This Row],[venta_total]]-Tabla1[[#This Row],[costo_total]]</f>
        <v>1560364</v>
      </c>
      <c r="N579" s="3">
        <f>Tabla1[[#This Row],[margen]]/Tabla1[[#This Row],[venta_total]]</f>
        <v>0.2000001025402291</v>
      </c>
    </row>
    <row r="580" spans="1:14" x14ac:dyDescent="0.25">
      <c r="A580" s="2">
        <v>45344</v>
      </c>
      <c r="B580" t="s">
        <v>18</v>
      </c>
      <c r="C580" t="s">
        <v>11</v>
      </c>
      <c r="D580" t="s">
        <v>19</v>
      </c>
      <c r="E580" t="s">
        <v>13</v>
      </c>
      <c r="F580" t="s">
        <v>33</v>
      </c>
      <c r="G580">
        <v>1</v>
      </c>
      <c r="H580" s="1">
        <v>1482041</v>
      </c>
      <c r="I580" s="1">
        <v>1037428</v>
      </c>
      <c r="J580" t="s">
        <v>29</v>
      </c>
      <c r="K580" s="1">
        <f>Tabla1[[#This Row],[cantidad]]*Tabla1[[#This Row],[precio_unitario]]</f>
        <v>1482041</v>
      </c>
      <c r="L580" s="1">
        <f>Tabla1[[#This Row],[cantidad]]*Tabla1[[#This Row],[costo_unitario]]</f>
        <v>1037428</v>
      </c>
      <c r="M580" s="1">
        <f>Tabla1[[#This Row],[venta_total]]-Tabla1[[#This Row],[costo_total]]</f>
        <v>444613</v>
      </c>
      <c r="N580" s="3">
        <f>Tabla1[[#This Row],[margen]]/Tabla1[[#This Row],[venta_total]]</f>
        <v>0.30000047232161592</v>
      </c>
    </row>
    <row r="581" spans="1:14" x14ac:dyDescent="0.25">
      <c r="A581" s="2">
        <v>45403</v>
      </c>
      <c r="B581" t="s">
        <v>34</v>
      </c>
      <c r="C581" t="s">
        <v>11</v>
      </c>
      <c r="D581" t="s">
        <v>12</v>
      </c>
      <c r="E581" t="s">
        <v>16</v>
      </c>
      <c r="F581" t="s">
        <v>17</v>
      </c>
      <c r="G581">
        <v>1</v>
      </c>
      <c r="H581" s="1">
        <v>3869150</v>
      </c>
      <c r="I581" s="1">
        <v>3017937</v>
      </c>
      <c r="J581" t="s">
        <v>15</v>
      </c>
      <c r="K581" s="1">
        <f>Tabla1[[#This Row],[cantidad]]*Tabla1[[#This Row],[precio_unitario]]</f>
        <v>3869150</v>
      </c>
      <c r="L581" s="1">
        <f>Tabla1[[#This Row],[cantidad]]*Tabla1[[#This Row],[costo_unitario]]</f>
        <v>3017937</v>
      </c>
      <c r="M581" s="1">
        <f>Tabla1[[#This Row],[venta_total]]-Tabla1[[#This Row],[costo_total]]</f>
        <v>851213</v>
      </c>
      <c r="N581" s="3">
        <f>Tabla1[[#This Row],[margen]]/Tabla1[[#This Row],[venta_total]]</f>
        <v>0.22</v>
      </c>
    </row>
    <row r="582" spans="1:14" x14ac:dyDescent="0.25">
      <c r="A582" s="2">
        <v>45402</v>
      </c>
      <c r="B582" t="s">
        <v>32</v>
      </c>
      <c r="C582" t="s">
        <v>11</v>
      </c>
      <c r="D582" t="s">
        <v>38</v>
      </c>
      <c r="E582" t="s">
        <v>13</v>
      </c>
      <c r="F582" t="s">
        <v>41</v>
      </c>
      <c r="G582">
        <v>1</v>
      </c>
      <c r="H582" s="1">
        <v>8264220</v>
      </c>
      <c r="I582" s="1">
        <v>6611376</v>
      </c>
      <c r="J582" t="s">
        <v>31</v>
      </c>
      <c r="K582" s="1">
        <f>Tabla1[[#This Row],[cantidad]]*Tabla1[[#This Row],[precio_unitario]]</f>
        <v>8264220</v>
      </c>
      <c r="L582" s="1">
        <f>Tabla1[[#This Row],[cantidad]]*Tabla1[[#This Row],[costo_unitario]]</f>
        <v>6611376</v>
      </c>
      <c r="M582" s="1">
        <f>Tabla1[[#This Row],[venta_total]]-Tabla1[[#This Row],[costo_total]]</f>
        <v>1652844</v>
      </c>
      <c r="N582" s="3">
        <f>Tabla1[[#This Row],[margen]]/Tabla1[[#This Row],[venta_total]]</f>
        <v>0.2</v>
      </c>
    </row>
    <row r="583" spans="1:14" x14ac:dyDescent="0.25">
      <c r="A583" s="2">
        <v>45316</v>
      </c>
      <c r="B583" t="s">
        <v>18</v>
      </c>
      <c r="C583" t="s">
        <v>11</v>
      </c>
      <c r="D583" t="s">
        <v>38</v>
      </c>
      <c r="E583" t="s">
        <v>13</v>
      </c>
      <c r="F583" t="s">
        <v>41</v>
      </c>
      <c r="G583">
        <v>1</v>
      </c>
      <c r="H583" s="1">
        <v>7848234</v>
      </c>
      <c r="I583" s="1">
        <v>6278587</v>
      </c>
      <c r="J583" t="s">
        <v>29</v>
      </c>
      <c r="K583" s="1">
        <f>Tabla1[[#This Row],[cantidad]]*Tabla1[[#This Row],[precio_unitario]]</f>
        <v>7848234</v>
      </c>
      <c r="L583" s="1">
        <f>Tabla1[[#This Row],[cantidad]]*Tabla1[[#This Row],[costo_unitario]]</f>
        <v>6278587</v>
      </c>
      <c r="M583" s="1">
        <f>Tabla1[[#This Row],[venta_total]]-Tabla1[[#This Row],[costo_total]]</f>
        <v>1569647</v>
      </c>
      <c r="N583" s="3">
        <f>Tabla1[[#This Row],[margen]]/Tabla1[[#This Row],[venta_total]]</f>
        <v>0.20000002548343998</v>
      </c>
    </row>
    <row r="584" spans="1:14" x14ac:dyDescent="0.25">
      <c r="A584" s="2">
        <v>45462</v>
      </c>
      <c r="B584" t="s">
        <v>18</v>
      </c>
      <c r="C584" t="s">
        <v>11</v>
      </c>
      <c r="D584" t="s">
        <v>12</v>
      </c>
      <c r="E584" t="s">
        <v>13</v>
      </c>
      <c r="F584" t="s">
        <v>14</v>
      </c>
      <c r="G584">
        <v>1</v>
      </c>
      <c r="H584" s="1">
        <v>4750317</v>
      </c>
      <c r="I584" s="1">
        <v>3800253</v>
      </c>
      <c r="J584" t="s">
        <v>31</v>
      </c>
      <c r="K584" s="1">
        <f>Tabla1[[#This Row],[cantidad]]*Tabla1[[#This Row],[precio_unitario]]</f>
        <v>4750317</v>
      </c>
      <c r="L584" s="1">
        <f>Tabla1[[#This Row],[cantidad]]*Tabla1[[#This Row],[costo_unitario]]</f>
        <v>3800253</v>
      </c>
      <c r="M584" s="1">
        <f>Tabla1[[#This Row],[venta_total]]-Tabla1[[#This Row],[costo_total]]</f>
        <v>950064</v>
      </c>
      <c r="N584" s="3">
        <f>Tabla1[[#This Row],[margen]]/Tabla1[[#This Row],[venta_total]]</f>
        <v>0.20000012630736011</v>
      </c>
    </row>
    <row r="585" spans="1:14" x14ac:dyDescent="0.25">
      <c r="A585" s="2">
        <v>45451</v>
      </c>
      <c r="B585" t="s">
        <v>10</v>
      </c>
      <c r="C585" t="s">
        <v>11</v>
      </c>
      <c r="D585" t="s">
        <v>19</v>
      </c>
      <c r="E585" t="s">
        <v>20</v>
      </c>
      <c r="F585" t="s">
        <v>21</v>
      </c>
      <c r="G585">
        <v>1</v>
      </c>
      <c r="H585" s="1">
        <v>443501</v>
      </c>
      <c r="I585" s="1">
        <v>266100</v>
      </c>
      <c r="J585" t="s">
        <v>25</v>
      </c>
      <c r="K585" s="1">
        <f>Tabla1[[#This Row],[cantidad]]*Tabla1[[#This Row],[precio_unitario]]</f>
        <v>443501</v>
      </c>
      <c r="L585" s="1">
        <f>Tabla1[[#This Row],[cantidad]]*Tabla1[[#This Row],[costo_unitario]]</f>
        <v>266100</v>
      </c>
      <c r="M585" s="1">
        <f>Tabla1[[#This Row],[venta_total]]-Tabla1[[#This Row],[costo_total]]</f>
        <v>177401</v>
      </c>
      <c r="N585" s="3">
        <f>Tabla1[[#This Row],[margen]]/Tabla1[[#This Row],[venta_total]]</f>
        <v>0.40000135287180866</v>
      </c>
    </row>
    <row r="586" spans="1:14" x14ac:dyDescent="0.25">
      <c r="A586" s="2">
        <v>45453</v>
      </c>
      <c r="B586" t="s">
        <v>34</v>
      </c>
      <c r="C586" t="s">
        <v>11</v>
      </c>
      <c r="D586" t="s">
        <v>19</v>
      </c>
      <c r="E586" t="s">
        <v>16</v>
      </c>
      <c r="F586" t="s">
        <v>35</v>
      </c>
      <c r="G586">
        <v>2</v>
      </c>
      <c r="H586" s="1">
        <v>633951</v>
      </c>
      <c r="I586" s="1">
        <v>412068</v>
      </c>
      <c r="J586" t="s">
        <v>31</v>
      </c>
      <c r="K586" s="1">
        <f>Tabla1[[#This Row],[cantidad]]*Tabla1[[#This Row],[precio_unitario]]</f>
        <v>1267902</v>
      </c>
      <c r="L586" s="1">
        <f>Tabla1[[#This Row],[cantidad]]*Tabla1[[#This Row],[costo_unitario]]</f>
        <v>824136</v>
      </c>
      <c r="M586" s="1">
        <f>Tabla1[[#This Row],[venta_total]]-Tabla1[[#This Row],[costo_total]]</f>
        <v>443766</v>
      </c>
      <c r="N586" s="3">
        <f>Tabla1[[#This Row],[margen]]/Tabla1[[#This Row],[venta_total]]</f>
        <v>0.35000023661134694</v>
      </c>
    </row>
    <row r="587" spans="1:14" x14ac:dyDescent="0.25">
      <c r="A587" s="2">
        <v>45355</v>
      </c>
      <c r="B587" t="s">
        <v>18</v>
      </c>
      <c r="C587" t="s">
        <v>11</v>
      </c>
      <c r="D587" t="s">
        <v>38</v>
      </c>
      <c r="E587" t="s">
        <v>16</v>
      </c>
      <c r="F587" t="s">
        <v>39</v>
      </c>
      <c r="G587">
        <v>1</v>
      </c>
      <c r="H587" s="1">
        <v>4611798</v>
      </c>
      <c r="I587" s="1">
        <v>3458848</v>
      </c>
      <c r="J587" t="s">
        <v>31</v>
      </c>
      <c r="K587" s="1">
        <f>Tabla1[[#This Row],[cantidad]]*Tabla1[[#This Row],[precio_unitario]]</f>
        <v>4611798</v>
      </c>
      <c r="L587" s="1">
        <f>Tabla1[[#This Row],[cantidad]]*Tabla1[[#This Row],[costo_unitario]]</f>
        <v>3458848</v>
      </c>
      <c r="M587" s="1">
        <f>Tabla1[[#This Row],[venta_total]]-Tabla1[[#This Row],[costo_total]]</f>
        <v>1152950</v>
      </c>
      <c r="N587" s="3">
        <f>Tabla1[[#This Row],[margen]]/Tabla1[[#This Row],[venta_total]]</f>
        <v>0.25000010841758463</v>
      </c>
    </row>
    <row r="588" spans="1:14" x14ac:dyDescent="0.25">
      <c r="A588" s="2">
        <v>45372</v>
      </c>
      <c r="B588" t="s">
        <v>32</v>
      </c>
      <c r="C588" t="s">
        <v>11</v>
      </c>
      <c r="D588" t="s">
        <v>38</v>
      </c>
      <c r="E588" t="s">
        <v>16</v>
      </c>
      <c r="F588" t="s">
        <v>39</v>
      </c>
      <c r="G588">
        <v>1</v>
      </c>
      <c r="H588" s="1">
        <v>3758584</v>
      </c>
      <c r="I588" s="1">
        <v>2818938</v>
      </c>
      <c r="J588" t="s">
        <v>31</v>
      </c>
      <c r="K588" s="1">
        <f>Tabla1[[#This Row],[cantidad]]*Tabla1[[#This Row],[precio_unitario]]</f>
        <v>3758584</v>
      </c>
      <c r="L588" s="1">
        <f>Tabla1[[#This Row],[cantidad]]*Tabla1[[#This Row],[costo_unitario]]</f>
        <v>2818938</v>
      </c>
      <c r="M588" s="1">
        <f>Tabla1[[#This Row],[venta_total]]-Tabla1[[#This Row],[costo_total]]</f>
        <v>939646</v>
      </c>
      <c r="N588" s="3">
        <f>Tabla1[[#This Row],[margen]]/Tabla1[[#This Row],[venta_total]]</f>
        <v>0.25</v>
      </c>
    </row>
    <row r="589" spans="1:14" x14ac:dyDescent="0.25">
      <c r="A589" s="2">
        <v>45406</v>
      </c>
      <c r="B589" t="s">
        <v>32</v>
      </c>
      <c r="C589" t="s">
        <v>11</v>
      </c>
      <c r="D589" t="s">
        <v>12</v>
      </c>
      <c r="E589" t="s">
        <v>16</v>
      </c>
      <c r="F589" t="s">
        <v>17</v>
      </c>
      <c r="G589">
        <v>1</v>
      </c>
      <c r="H589" s="1">
        <v>3140269</v>
      </c>
      <c r="I589" s="1">
        <v>2449409</v>
      </c>
      <c r="J589" t="s">
        <v>22</v>
      </c>
      <c r="K589" s="1">
        <f>Tabla1[[#This Row],[cantidad]]*Tabla1[[#This Row],[precio_unitario]]</f>
        <v>3140269</v>
      </c>
      <c r="L589" s="1">
        <f>Tabla1[[#This Row],[cantidad]]*Tabla1[[#This Row],[costo_unitario]]</f>
        <v>2449409</v>
      </c>
      <c r="M589" s="1">
        <f>Tabla1[[#This Row],[venta_total]]-Tabla1[[#This Row],[costo_total]]</f>
        <v>690860</v>
      </c>
      <c r="N589" s="3">
        <f>Tabla1[[#This Row],[margen]]/Tabla1[[#This Row],[venta_total]]</f>
        <v>0.22000026112412663</v>
      </c>
    </row>
    <row r="590" spans="1:14" x14ac:dyDescent="0.25">
      <c r="A590" s="2">
        <v>45302</v>
      </c>
      <c r="B590" t="s">
        <v>18</v>
      </c>
      <c r="C590" t="s">
        <v>11</v>
      </c>
      <c r="D590" t="s">
        <v>19</v>
      </c>
      <c r="E590" t="s">
        <v>16</v>
      </c>
      <c r="F590" t="s">
        <v>35</v>
      </c>
      <c r="G590">
        <v>1</v>
      </c>
      <c r="H590" s="1">
        <v>1035352</v>
      </c>
      <c r="I590" s="1">
        <v>672978</v>
      </c>
      <c r="J590" t="s">
        <v>29</v>
      </c>
      <c r="K590" s="1">
        <f>Tabla1[[#This Row],[cantidad]]*Tabla1[[#This Row],[precio_unitario]]</f>
        <v>1035352</v>
      </c>
      <c r="L590" s="1">
        <f>Tabla1[[#This Row],[cantidad]]*Tabla1[[#This Row],[costo_unitario]]</f>
        <v>672978</v>
      </c>
      <c r="M590" s="1">
        <f>Tabla1[[#This Row],[venta_total]]-Tabla1[[#This Row],[costo_total]]</f>
        <v>362374</v>
      </c>
      <c r="N590" s="3">
        <f>Tabla1[[#This Row],[margen]]/Tabla1[[#This Row],[venta_total]]</f>
        <v>0.35000077268407265</v>
      </c>
    </row>
    <row r="591" spans="1:14" x14ac:dyDescent="0.25">
      <c r="A591" s="2">
        <v>45348</v>
      </c>
      <c r="B591" t="s">
        <v>32</v>
      </c>
      <c r="C591" t="s">
        <v>11</v>
      </c>
      <c r="D591" t="s">
        <v>26</v>
      </c>
      <c r="E591" t="s">
        <v>16</v>
      </c>
      <c r="F591" t="s">
        <v>40</v>
      </c>
      <c r="G591">
        <v>1</v>
      </c>
      <c r="H591" s="1">
        <v>4028971</v>
      </c>
      <c r="I591" s="1">
        <v>3142597</v>
      </c>
      <c r="J591" t="s">
        <v>25</v>
      </c>
      <c r="K591" s="1">
        <f>Tabla1[[#This Row],[cantidad]]*Tabla1[[#This Row],[precio_unitario]]</f>
        <v>4028971</v>
      </c>
      <c r="L591" s="1">
        <f>Tabla1[[#This Row],[cantidad]]*Tabla1[[#This Row],[costo_unitario]]</f>
        <v>3142597</v>
      </c>
      <c r="M591" s="1">
        <f>Tabla1[[#This Row],[venta_total]]-Tabla1[[#This Row],[costo_total]]</f>
        <v>886374</v>
      </c>
      <c r="N591" s="3">
        <f>Tabla1[[#This Row],[margen]]/Tabla1[[#This Row],[venta_total]]</f>
        <v>0.22000009431688636</v>
      </c>
    </row>
    <row r="592" spans="1:14" x14ac:dyDescent="0.25">
      <c r="A592" s="2">
        <v>45416</v>
      </c>
      <c r="B592" t="s">
        <v>34</v>
      </c>
      <c r="C592" t="s">
        <v>11</v>
      </c>
      <c r="D592" t="s">
        <v>12</v>
      </c>
      <c r="E592" t="s">
        <v>20</v>
      </c>
      <c r="F592" t="s">
        <v>37</v>
      </c>
      <c r="G592">
        <v>1</v>
      </c>
      <c r="H592" s="1">
        <v>2087607</v>
      </c>
      <c r="I592" s="1">
        <v>1565705</v>
      </c>
      <c r="J592" t="s">
        <v>15</v>
      </c>
      <c r="K592" s="1">
        <f>Tabla1[[#This Row],[cantidad]]*Tabla1[[#This Row],[precio_unitario]]</f>
        <v>2087607</v>
      </c>
      <c r="L592" s="1">
        <f>Tabla1[[#This Row],[cantidad]]*Tabla1[[#This Row],[costo_unitario]]</f>
        <v>1565705</v>
      </c>
      <c r="M592" s="1">
        <f>Tabla1[[#This Row],[venta_total]]-Tabla1[[#This Row],[costo_total]]</f>
        <v>521902</v>
      </c>
      <c r="N592" s="3">
        <f>Tabla1[[#This Row],[margen]]/Tabla1[[#This Row],[venta_total]]</f>
        <v>0.25000011975434072</v>
      </c>
    </row>
    <row r="593" spans="1:14" x14ac:dyDescent="0.25">
      <c r="A593" s="2">
        <v>45459</v>
      </c>
      <c r="B593" t="s">
        <v>34</v>
      </c>
      <c r="C593" t="s">
        <v>11</v>
      </c>
      <c r="D593" t="s">
        <v>38</v>
      </c>
      <c r="E593" t="s">
        <v>13</v>
      </c>
      <c r="F593" t="s">
        <v>41</v>
      </c>
      <c r="G593">
        <v>1</v>
      </c>
      <c r="H593" s="1">
        <v>6279844</v>
      </c>
      <c r="I593" s="1">
        <v>5023875</v>
      </c>
      <c r="J593" t="s">
        <v>29</v>
      </c>
      <c r="K593" s="1">
        <f>Tabla1[[#This Row],[cantidad]]*Tabla1[[#This Row],[precio_unitario]]</f>
        <v>6279844</v>
      </c>
      <c r="L593" s="1">
        <f>Tabla1[[#This Row],[cantidad]]*Tabla1[[#This Row],[costo_unitario]]</f>
        <v>5023875</v>
      </c>
      <c r="M593" s="1">
        <f>Tabla1[[#This Row],[venta_total]]-Tabla1[[#This Row],[costo_total]]</f>
        <v>1255969</v>
      </c>
      <c r="N593" s="3">
        <f>Tabla1[[#This Row],[margen]]/Tabla1[[#This Row],[venta_total]]</f>
        <v>0.20000003184792489</v>
      </c>
    </row>
    <row r="594" spans="1:14" x14ac:dyDescent="0.25">
      <c r="A594" s="2">
        <v>45413</v>
      </c>
      <c r="B594" t="s">
        <v>18</v>
      </c>
      <c r="C594" t="s">
        <v>11</v>
      </c>
      <c r="D594" t="s">
        <v>23</v>
      </c>
      <c r="E594" t="s">
        <v>20</v>
      </c>
      <c r="F594" t="s">
        <v>30</v>
      </c>
      <c r="G594">
        <v>1</v>
      </c>
      <c r="H594" s="1">
        <v>915187</v>
      </c>
      <c r="I594" s="1">
        <v>640630</v>
      </c>
      <c r="J594" t="s">
        <v>31</v>
      </c>
      <c r="K594" s="1">
        <f>Tabla1[[#This Row],[cantidad]]*Tabla1[[#This Row],[precio_unitario]]</f>
        <v>915187</v>
      </c>
      <c r="L594" s="1">
        <f>Tabla1[[#This Row],[cantidad]]*Tabla1[[#This Row],[costo_unitario]]</f>
        <v>640630</v>
      </c>
      <c r="M594" s="1">
        <f>Tabla1[[#This Row],[venta_total]]-Tabla1[[#This Row],[costo_total]]</f>
        <v>274557</v>
      </c>
      <c r="N594" s="3">
        <f>Tabla1[[#This Row],[margen]]/Tabla1[[#This Row],[venta_total]]</f>
        <v>0.30000098340557724</v>
      </c>
    </row>
    <row r="595" spans="1:14" x14ac:dyDescent="0.25">
      <c r="A595" s="2">
        <v>45399</v>
      </c>
      <c r="B595" t="s">
        <v>10</v>
      </c>
      <c r="C595" t="s">
        <v>11</v>
      </c>
      <c r="D595" t="s">
        <v>38</v>
      </c>
      <c r="E595" t="s">
        <v>13</v>
      </c>
      <c r="F595" t="s">
        <v>41</v>
      </c>
      <c r="G595">
        <v>1</v>
      </c>
      <c r="H595" s="1">
        <v>8075543</v>
      </c>
      <c r="I595" s="1">
        <v>6460434</v>
      </c>
      <c r="J595" t="s">
        <v>31</v>
      </c>
      <c r="K595" s="1">
        <f>Tabla1[[#This Row],[cantidad]]*Tabla1[[#This Row],[precio_unitario]]</f>
        <v>8075543</v>
      </c>
      <c r="L595" s="1">
        <f>Tabla1[[#This Row],[cantidad]]*Tabla1[[#This Row],[costo_unitario]]</f>
        <v>6460434</v>
      </c>
      <c r="M595" s="1">
        <f>Tabla1[[#This Row],[venta_total]]-Tabla1[[#This Row],[costo_total]]</f>
        <v>1615109</v>
      </c>
      <c r="N595" s="3">
        <f>Tabla1[[#This Row],[margen]]/Tabla1[[#This Row],[venta_total]]</f>
        <v>0.20000004953227293</v>
      </c>
    </row>
    <row r="596" spans="1:14" x14ac:dyDescent="0.25">
      <c r="A596" s="2">
        <v>45435</v>
      </c>
      <c r="B596" t="s">
        <v>34</v>
      </c>
      <c r="C596" t="s">
        <v>11</v>
      </c>
      <c r="D596" t="s">
        <v>26</v>
      </c>
      <c r="E596" t="s">
        <v>16</v>
      </c>
      <c r="F596" t="s">
        <v>40</v>
      </c>
      <c r="G596">
        <v>1</v>
      </c>
      <c r="H596" s="1">
        <v>4176717</v>
      </c>
      <c r="I596" s="1">
        <v>3257839</v>
      </c>
      <c r="J596" t="s">
        <v>29</v>
      </c>
      <c r="K596" s="1">
        <f>Tabla1[[#This Row],[cantidad]]*Tabla1[[#This Row],[precio_unitario]]</f>
        <v>4176717</v>
      </c>
      <c r="L596" s="1">
        <f>Tabla1[[#This Row],[cantidad]]*Tabla1[[#This Row],[costo_unitario]]</f>
        <v>3257839</v>
      </c>
      <c r="M596" s="1">
        <f>Tabla1[[#This Row],[venta_total]]-Tabla1[[#This Row],[costo_total]]</f>
        <v>918878</v>
      </c>
      <c r="N596" s="3">
        <f>Tabla1[[#This Row],[margen]]/Tabla1[[#This Row],[venta_total]]</f>
        <v>0.22000006224984839</v>
      </c>
    </row>
    <row r="597" spans="1:14" x14ac:dyDescent="0.25">
      <c r="A597" s="2">
        <v>45411</v>
      </c>
      <c r="B597" t="s">
        <v>18</v>
      </c>
      <c r="C597" t="s">
        <v>11</v>
      </c>
      <c r="D597" t="s">
        <v>23</v>
      </c>
      <c r="E597" t="s">
        <v>20</v>
      </c>
      <c r="F597" t="s">
        <v>30</v>
      </c>
      <c r="G597">
        <v>1</v>
      </c>
      <c r="H597" s="1">
        <v>1125445</v>
      </c>
      <c r="I597" s="1">
        <v>787811</v>
      </c>
      <c r="J597" t="s">
        <v>15</v>
      </c>
      <c r="K597" s="1">
        <f>Tabla1[[#This Row],[cantidad]]*Tabla1[[#This Row],[precio_unitario]]</f>
        <v>1125445</v>
      </c>
      <c r="L597" s="1">
        <f>Tabla1[[#This Row],[cantidad]]*Tabla1[[#This Row],[costo_unitario]]</f>
        <v>787811</v>
      </c>
      <c r="M597" s="1">
        <f>Tabla1[[#This Row],[venta_total]]-Tabla1[[#This Row],[costo_total]]</f>
        <v>337634</v>
      </c>
      <c r="N597" s="3">
        <f>Tabla1[[#This Row],[margen]]/Tabla1[[#This Row],[venta_total]]</f>
        <v>0.30000044426871147</v>
      </c>
    </row>
    <row r="598" spans="1:14" x14ac:dyDescent="0.25">
      <c r="A598" s="2">
        <v>45420</v>
      </c>
      <c r="B598" t="s">
        <v>32</v>
      </c>
      <c r="C598" t="s">
        <v>11</v>
      </c>
      <c r="D598" t="s">
        <v>12</v>
      </c>
      <c r="E598" t="s">
        <v>16</v>
      </c>
      <c r="F598" t="s">
        <v>17</v>
      </c>
      <c r="G598">
        <v>1</v>
      </c>
      <c r="H598" s="1">
        <v>3265466</v>
      </c>
      <c r="I598" s="1">
        <v>2547063</v>
      </c>
      <c r="J598" t="s">
        <v>15</v>
      </c>
      <c r="K598" s="1">
        <f>Tabla1[[#This Row],[cantidad]]*Tabla1[[#This Row],[precio_unitario]]</f>
        <v>3265466</v>
      </c>
      <c r="L598" s="1">
        <f>Tabla1[[#This Row],[cantidad]]*Tabla1[[#This Row],[costo_unitario]]</f>
        <v>2547063</v>
      </c>
      <c r="M598" s="1">
        <f>Tabla1[[#This Row],[venta_total]]-Tabla1[[#This Row],[costo_total]]</f>
        <v>718403</v>
      </c>
      <c r="N598" s="3">
        <f>Tabla1[[#This Row],[margen]]/Tabla1[[#This Row],[venta_total]]</f>
        <v>0.22000014699280288</v>
      </c>
    </row>
    <row r="599" spans="1:14" x14ac:dyDescent="0.25">
      <c r="A599" s="2">
        <v>45414</v>
      </c>
      <c r="B599" t="s">
        <v>32</v>
      </c>
      <c r="C599" t="s">
        <v>11</v>
      </c>
      <c r="D599" t="s">
        <v>26</v>
      </c>
      <c r="E599" t="s">
        <v>13</v>
      </c>
      <c r="F599" t="s">
        <v>27</v>
      </c>
      <c r="G599">
        <v>1</v>
      </c>
      <c r="H599" s="1">
        <v>5444743</v>
      </c>
      <c r="I599" s="1">
        <v>4355794</v>
      </c>
      <c r="J599" t="s">
        <v>31</v>
      </c>
      <c r="K599" s="1">
        <f>Tabla1[[#This Row],[cantidad]]*Tabla1[[#This Row],[precio_unitario]]</f>
        <v>5444743</v>
      </c>
      <c r="L599" s="1">
        <f>Tabla1[[#This Row],[cantidad]]*Tabla1[[#This Row],[costo_unitario]]</f>
        <v>4355794</v>
      </c>
      <c r="M599" s="1">
        <f>Tabla1[[#This Row],[venta_total]]-Tabla1[[#This Row],[costo_total]]</f>
        <v>1088949</v>
      </c>
      <c r="N599" s="3">
        <f>Tabla1[[#This Row],[margen]]/Tabla1[[#This Row],[venta_total]]</f>
        <v>0.20000007346535917</v>
      </c>
    </row>
    <row r="600" spans="1:14" x14ac:dyDescent="0.25">
      <c r="A600" s="2">
        <v>45449</v>
      </c>
      <c r="B600" t="s">
        <v>32</v>
      </c>
      <c r="C600" t="s">
        <v>11</v>
      </c>
      <c r="D600" t="s">
        <v>12</v>
      </c>
      <c r="E600" t="s">
        <v>16</v>
      </c>
      <c r="F600" t="s">
        <v>17</v>
      </c>
      <c r="G600">
        <v>1</v>
      </c>
      <c r="H600" s="1">
        <v>3516211</v>
      </c>
      <c r="I600" s="1">
        <v>2742644</v>
      </c>
      <c r="J600" t="s">
        <v>15</v>
      </c>
      <c r="K600" s="1">
        <f>Tabla1[[#This Row],[cantidad]]*Tabla1[[#This Row],[precio_unitario]]</f>
        <v>3516211</v>
      </c>
      <c r="L600" s="1">
        <f>Tabla1[[#This Row],[cantidad]]*Tabla1[[#This Row],[costo_unitario]]</f>
        <v>2742644</v>
      </c>
      <c r="M600" s="1">
        <f>Tabla1[[#This Row],[venta_total]]-Tabla1[[#This Row],[costo_total]]</f>
        <v>773567</v>
      </c>
      <c r="N600" s="3">
        <f>Tabla1[[#This Row],[margen]]/Tabla1[[#This Row],[venta_total]]</f>
        <v>0.22000016495028313</v>
      </c>
    </row>
    <row r="601" spans="1:14" x14ac:dyDescent="0.25">
      <c r="A601" s="2">
        <v>45414</v>
      </c>
      <c r="B601" t="s">
        <v>18</v>
      </c>
      <c r="C601" t="s">
        <v>11</v>
      </c>
      <c r="D601" t="s">
        <v>26</v>
      </c>
      <c r="E601" t="s">
        <v>16</v>
      </c>
      <c r="F601" t="s">
        <v>40</v>
      </c>
      <c r="G601">
        <v>1</v>
      </c>
      <c r="H601" s="1">
        <v>4160355</v>
      </c>
      <c r="I601" s="1">
        <v>3245076</v>
      </c>
      <c r="J601" t="s">
        <v>31</v>
      </c>
      <c r="K601" s="1">
        <f>Tabla1[[#This Row],[cantidad]]*Tabla1[[#This Row],[precio_unitario]]</f>
        <v>4160355</v>
      </c>
      <c r="L601" s="1">
        <f>Tabla1[[#This Row],[cantidad]]*Tabla1[[#This Row],[costo_unitario]]</f>
        <v>3245076</v>
      </c>
      <c r="M601" s="1">
        <f>Tabla1[[#This Row],[venta_total]]-Tabla1[[#This Row],[costo_total]]</f>
        <v>915279</v>
      </c>
      <c r="N601" s="3">
        <f>Tabla1[[#This Row],[margen]]/Tabla1[[#This Row],[venta_total]]</f>
        <v>0.22000021632769318</v>
      </c>
    </row>
    <row r="602" spans="1:14" x14ac:dyDescent="0.25">
      <c r="A602" s="2">
        <v>45381</v>
      </c>
      <c r="B602" t="s">
        <v>32</v>
      </c>
      <c r="C602" t="s">
        <v>11</v>
      </c>
      <c r="D602" t="s">
        <v>19</v>
      </c>
      <c r="E602" t="s">
        <v>13</v>
      </c>
      <c r="F602" t="s">
        <v>33</v>
      </c>
      <c r="G602">
        <v>1</v>
      </c>
      <c r="H602" s="1">
        <v>1365626</v>
      </c>
      <c r="I602" s="1">
        <v>955938</v>
      </c>
      <c r="J602" t="s">
        <v>29</v>
      </c>
      <c r="K602" s="1">
        <f>Tabla1[[#This Row],[cantidad]]*Tabla1[[#This Row],[precio_unitario]]</f>
        <v>1365626</v>
      </c>
      <c r="L602" s="1">
        <f>Tabla1[[#This Row],[cantidad]]*Tabla1[[#This Row],[costo_unitario]]</f>
        <v>955938</v>
      </c>
      <c r="M602" s="1">
        <f>Tabla1[[#This Row],[venta_total]]-Tabla1[[#This Row],[costo_total]]</f>
        <v>409688</v>
      </c>
      <c r="N602" s="3">
        <f>Tabla1[[#This Row],[margen]]/Tabla1[[#This Row],[venta_total]]</f>
        <v>0.30000014645298201</v>
      </c>
    </row>
    <row r="603" spans="1:14" x14ac:dyDescent="0.25">
      <c r="A603" s="2">
        <v>45470</v>
      </c>
      <c r="B603" t="s">
        <v>18</v>
      </c>
      <c r="C603" t="s">
        <v>11</v>
      </c>
      <c r="D603" t="s">
        <v>12</v>
      </c>
      <c r="E603" t="s">
        <v>16</v>
      </c>
      <c r="F603" t="s">
        <v>17</v>
      </c>
      <c r="G603">
        <v>1</v>
      </c>
      <c r="H603" s="1">
        <v>3904933</v>
      </c>
      <c r="I603" s="1">
        <v>3045847</v>
      </c>
      <c r="J603" t="s">
        <v>15</v>
      </c>
      <c r="K603" s="1">
        <f>Tabla1[[#This Row],[cantidad]]*Tabla1[[#This Row],[precio_unitario]]</f>
        <v>3904933</v>
      </c>
      <c r="L603" s="1">
        <f>Tabla1[[#This Row],[cantidad]]*Tabla1[[#This Row],[costo_unitario]]</f>
        <v>3045847</v>
      </c>
      <c r="M603" s="1">
        <f>Tabla1[[#This Row],[venta_total]]-Tabla1[[#This Row],[costo_total]]</f>
        <v>859086</v>
      </c>
      <c r="N603" s="3">
        <f>Tabla1[[#This Row],[margen]]/Tabla1[[#This Row],[venta_total]]</f>
        <v>0.22000018950389161</v>
      </c>
    </row>
    <row r="604" spans="1:14" x14ac:dyDescent="0.25">
      <c r="A604" s="2">
        <v>45391</v>
      </c>
      <c r="B604" t="s">
        <v>32</v>
      </c>
      <c r="C604" t="s">
        <v>11</v>
      </c>
      <c r="D604" t="s">
        <v>26</v>
      </c>
      <c r="E604" t="s">
        <v>13</v>
      </c>
      <c r="F604" t="s">
        <v>27</v>
      </c>
      <c r="G604">
        <v>1</v>
      </c>
      <c r="H604" s="1">
        <v>9320621</v>
      </c>
      <c r="I604" s="1">
        <v>7456496</v>
      </c>
      <c r="J604" t="s">
        <v>31</v>
      </c>
      <c r="K604" s="1">
        <f>Tabla1[[#This Row],[cantidad]]*Tabla1[[#This Row],[precio_unitario]]</f>
        <v>9320621</v>
      </c>
      <c r="L604" s="1">
        <f>Tabla1[[#This Row],[cantidad]]*Tabla1[[#This Row],[costo_unitario]]</f>
        <v>7456496</v>
      </c>
      <c r="M604" s="1">
        <f>Tabla1[[#This Row],[venta_total]]-Tabla1[[#This Row],[costo_total]]</f>
        <v>1864125</v>
      </c>
      <c r="N604" s="3">
        <f>Tabla1[[#This Row],[margen]]/Tabla1[[#This Row],[venta_total]]</f>
        <v>0.20000008583119086</v>
      </c>
    </row>
    <row r="605" spans="1:14" x14ac:dyDescent="0.25">
      <c r="A605" s="2">
        <v>45325</v>
      </c>
      <c r="B605" t="s">
        <v>34</v>
      </c>
      <c r="C605" t="s">
        <v>11</v>
      </c>
      <c r="D605" t="s">
        <v>23</v>
      </c>
      <c r="E605" t="s">
        <v>20</v>
      </c>
      <c r="F605" t="s">
        <v>30</v>
      </c>
      <c r="G605">
        <v>1</v>
      </c>
      <c r="H605" s="1">
        <v>1111076</v>
      </c>
      <c r="I605" s="1">
        <v>777753</v>
      </c>
      <c r="J605" t="s">
        <v>25</v>
      </c>
      <c r="K605" s="1">
        <f>Tabla1[[#This Row],[cantidad]]*Tabla1[[#This Row],[precio_unitario]]</f>
        <v>1111076</v>
      </c>
      <c r="L605" s="1">
        <f>Tabla1[[#This Row],[cantidad]]*Tabla1[[#This Row],[costo_unitario]]</f>
        <v>777753</v>
      </c>
      <c r="M605" s="1">
        <f>Tabla1[[#This Row],[venta_total]]-Tabla1[[#This Row],[costo_total]]</f>
        <v>333323</v>
      </c>
      <c r="N605" s="3">
        <f>Tabla1[[#This Row],[margen]]/Tabla1[[#This Row],[venta_total]]</f>
        <v>0.30000018000568818</v>
      </c>
    </row>
    <row r="606" spans="1:14" x14ac:dyDescent="0.25">
      <c r="A606" s="2">
        <v>45441</v>
      </c>
      <c r="B606" t="s">
        <v>18</v>
      </c>
      <c r="C606" t="s">
        <v>11</v>
      </c>
      <c r="D606" t="s">
        <v>26</v>
      </c>
      <c r="E606" t="s">
        <v>20</v>
      </c>
      <c r="F606" t="s">
        <v>36</v>
      </c>
      <c r="G606">
        <v>1</v>
      </c>
      <c r="H606" s="1">
        <v>2107079</v>
      </c>
      <c r="I606" s="1">
        <v>1580309</v>
      </c>
      <c r="J606" t="s">
        <v>22</v>
      </c>
      <c r="K606" s="1">
        <f>Tabla1[[#This Row],[cantidad]]*Tabla1[[#This Row],[precio_unitario]]</f>
        <v>2107079</v>
      </c>
      <c r="L606" s="1">
        <f>Tabla1[[#This Row],[cantidad]]*Tabla1[[#This Row],[costo_unitario]]</f>
        <v>1580309</v>
      </c>
      <c r="M606" s="1">
        <f>Tabla1[[#This Row],[venta_total]]-Tabla1[[#This Row],[costo_total]]</f>
        <v>526770</v>
      </c>
      <c r="N606" s="3">
        <f>Tabla1[[#This Row],[margen]]/Tabla1[[#This Row],[venta_total]]</f>
        <v>0.25000011864766342</v>
      </c>
    </row>
    <row r="607" spans="1:14" x14ac:dyDescent="0.25">
      <c r="A607" s="2">
        <v>45425</v>
      </c>
      <c r="B607" t="s">
        <v>32</v>
      </c>
      <c r="C607" t="s">
        <v>11</v>
      </c>
      <c r="D607" t="s">
        <v>12</v>
      </c>
      <c r="E607" t="s">
        <v>20</v>
      </c>
      <c r="F607" t="s">
        <v>37</v>
      </c>
      <c r="G607">
        <v>1</v>
      </c>
      <c r="H607" s="1">
        <v>2134014</v>
      </c>
      <c r="I607" s="1">
        <v>1600510</v>
      </c>
      <c r="J607" t="s">
        <v>31</v>
      </c>
      <c r="K607" s="1">
        <f>Tabla1[[#This Row],[cantidad]]*Tabla1[[#This Row],[precio_unitario]]</f>
        <v>2134014</v>
      </c>
      <c r="L607" s="1">
        <f>Tabla1[[#This Row],[cantidad]]*Tabla1[[#This Row],[costo_unitario]]</f>
        <v>1600510</v>
      </c>
      <c r="M607" s="1">
        <f>Tabla1[[#This Row],[venta_total]]-Tabla1[[#This Row],[costo_total]]</f>
        <v>533504</v>
      </c>
      <c r="N607" s="3">
        <f>Tabla1[[#This Row],[margen]]/Tabla1[[#This Row],[venta_total]]</f>
        <v>0.2500002343002436</v>
      </c>
    </row>
    <row r="608" spans="1:14" x14ac:dyDescent="0.25">
      <c r="A608" s="2">
        <v>45413</v>
      </c>
      <c r="B608" t="s">
        <v>18</v>
      </c>
      <c r="C608" t="s">
        <v>11</v>
      </c>
      <c r="D608" t="s">
        <v>12</v>
      </c>
      <c r="E608" t="s">
        <v>16</v>
      </c>
      <c r="F608" t="s">
        <v>17</v>
      </c>
      <c r="G608">
        <v>1</v>
      </c>
      <c r="H608" s="1">
        <v>3270110</v>
      </c>
      <c r="I608" s="1">
        <v>2550685</v>
      </c>
      <c r="J608" t="s">
        <v>29</v>
      </c>
      <c r="K608" s="1">
        <f>Tabla1[[#This Row],[cantidad]]*Tabla1[[#This Row],[precio_unitario]]</f>
        <v>3270110</v>
      </c>
      <c r="L608" s="1">
        <f>Tabla1[[#This Row],[cantidad]]*Tabla1[[#This Row],[costo_unitario]]</f>
        <v>2550685</v>
      </c>
      <c r="M608" s="1">
        <f>Tabla1[[#This Row],[venta_total]]-Tabla1[[#This Row],[costo_total]]</f>
        <v>719425</v>
      </c>
      <c r="N608" s="3">
        <f>Tabla1[[#This Row],[margen]]/Tabla1[[#This Row],[venta_total]]</f>
        <v>0.22000024464008855</v>
      </c>
    </row>
    <row r="609" spans="1:14" x14ac:dyDescent="0.25">
      <c r="A609" s="2">
        <v>45432</v>
      </c>
      <c r="B609" t="s">
        <v>32</v>
      </c>
      <c r="C609" t="s">
        <v>11</v>
      </c>
      <c r="D609" t="s">
        <v>26</v>
      </c>
      <c r="E609" t="s">
        <v>20</v>
      </c>
      <c r="F609" t="s">
        <v>36</v>
      </c>
      <c r="G609">
        <v>1</v>
      </c>
      <c r="H609" s="1">
        <v>2820489</v>
      </c>
      <c r="I609" s="1">
        <v>2115366</v>
      </c>
      <c r="J609" t="s">
        <v>31</v>
      </c>
      <c r="K609" s="1">
        <f>Tabla1[[#This Row],[cantidad]]*Tabla1[[#This Row],[precio_unitario]]</f>
        <v>2820489</v>
      </c>
      <c r="L609" s="1">
        <f>Tabla1[[#This Row],[cantidad]]*Tabla1[[#This Row],[costo_unitario]]</f>
        <v>2115366</v>
      </c>
      <c r="M609" s="1">
        <f>Tabla1[[#This Row],[venta_total]]-Tabla1[[#This Row],[costo_total]]</f>
        <v>705123</v>
      </c>
      <c r="N609" s="3">
        <f>Tabla1[[#This Row],[margen]]/Tabla1[[#This Row],[venta_total]]</f>
        <v>0.25000026591133667</v>
      </c>
    </row>
    <row r="610" spans="1:14" x14ac:dyDescent="0.25">
      <c r="A610" s="2">
        <v>45447</v>
      </c>
      <c r="B610" t="s">
        <v>32</v>
      </c>
      <c r="C610" t="s">
        <v>11</v>
      </c>
      <c r="D610" t="s">
        <v>19</v>
      </c>
      <c r="E610" t="s">
        <v>13</v>
      </c>
      <c r="F610" t="s">
        <v>33</v>
      </c>
      <c r="G610">
        <v>2</v>
      </c>
      <c r="H610" s="1">
        <v>1453506</v>
      </c>
      <c r="I610" s="1">
        <v>1017454</v>
      </c>
      <c r="J610" t="s">
        <v>15</v>
      </c>
      <c r="K610" s="1">
        <f>Tabla1[[#This Row],[cantidad]]*Tabla1[[#This Row],[precio_unitario]]</f>
        <v>2907012</v>
      </c>
      <c r="L610" s="1">
        <f>Tabla1[[#This Row],[cantidad]]*Tabla1[[#This Row],[costo_unitario]]</f>
        <v>2034908</v>
      </c>
      <c r="M610" s="1">
        <f>Tabla1[[#This Row],[venta_total]]-Tabla1[[#This Row],[costo_total]]</f>
        <v>872104</v>
      </c>
      <c r="N610" s="3">
        <f>Tabla1[[#This Row],[margen]]/Tabla1[[#This Row],[venta_total]]</f>
        <v>0.30000013759833122</v>
      </c>
    </row>
    <row r="611" spans="1:14" x14ac:dyDescent="0.25">
      <c r="A611" s="2">
        <v>45390</v>
      </c>
      <c r="B611" t="s">
        <v>32</v>
      </c>
      <c r="C611" t="s">
        <v>11</v>
      </c>
      <c r="D611" t="s">
        <v>19</v>
      </c>
      <c r="E611" t="s">
        <v>20</v>
      </c>
      <c r="F611" t="s">
        <v>21</v>
      </c>
      <c r="G611">
        <v>3</v>
      </c>
      <c r="H611" s="1">
        <v>305697</v>
      </c>
      <c r="I611" s="1">
        <v>183418</v>
      </c>
      <c r="J611" t="s">
        <v>29</v>
      </c>
      <c r="K611" s="1">
        <f>Tabla1[[#This Row],[cantidad]]*Tabla1[[#This Row],[precio_unitario]]</f>
        <v>917091</v>
      </c>
      <c r="L611" s="1">
        <f>Tabla1[[#This Row],[cantidad]]*Tabla1[[#This Row],[costo_unitario]]</f>
        <v>550254</v>
      </c>
      <c r="M611" s="1">
        <f>Tabla1[[#This Row],[venta_total]]-Tabla1[[#This Row],[costo_total]]</f>
        <v>366837</v>
      </c>
      <c r="N611" s="3">
        <f>Tabla1[[#This Row],[margen]]/Tabla1[[#This Row],[venta_total]]</f>
        <v>0.40000065424259967</v>
      </c>
    </row>
    <row r="612" spans="1:14" x14ac:dyDescent="0.25">
      <c r="A612" s="2">
        <v>45339</v>
      </c>
      <c r="B612" t="s">
        <v>10</v>
      </c>
      <c r="C612" t="s">
        <v>11</v>
      </c>
      <c r="D612" t="s">
        <v>23</v>
      </c>
      <c r="E612" t="s">
        <v>16</v>
      </c>
      <c r="F612" t="s">
        <v>24</v>
      </c>
      <c r="G612">
        <v>1</v>
      </c>
      <c r="H612" s="1">
        <v>1867153</v>
      </c>
      <c r="I612" s="1">
        <v>1400364</v>
      </c>
      <c r="J612" t="s">
        <v>15</v>
      </c>
      <c r="K612" s="1">
        <f>Tabla1[[#This Row],[cantidad]]*Tabla1[[#This Row],[precio_unitario]]</f>
        <v>1867153</v>
      </c>
      <c r="L612" s="1">
        <f>Tabla1[[#This Row],[cantidad]]*Tabla1[[#This Row],[costo_unitario]]</f>
        <v>1400364</v>
      </c>
      <c r="M612" s="1">
        <f>Tabla1[[#This Row],[venta_total]]-Tabla1[[#This Row],[costo_total]]</f>
        <v>466789</v>
      </c>
      <c r="N612" s="3">
        <f>Tabla1[[#This Row],[margen]]/Tabla1[[#This Row],[venta_total]]</f>
        <v>0.25000040168106202</v>
      </c>
    </row>
    <row r="613" spans="1:14" x14ac:dyDescent="0.25">
      <c r="A613" s="2">
        <v>45351</v>
      </c>
      <c r="B613" t="s">
        <v>34</v>
      </c>
      <c r="C613" t="s">
        <v>11</v>
      </c>
      <c r="D613" t="s">
        <v>38</v>
      </c>
      <c r="E613" t="s">
        <v>20</v>
      </c>
      <c r="F613" t="s">
        <v>42</v>
      </c>
      <c r="G613">
        <v>1</v>
      </c>
      <c r="H613" s="1">
        <v>2769884</v>
      </c>
      <c r="I613" s="1">
        <v>1994316</v>
      </c>
      <c r="J613" t="s">
        <v>29</v>
      </c>
      <c r="K613" s="1">
        <f>Tabla1[[#This Row],[cantidad]]*Tabla1[[#This Row],[precio_unitario]]</f>
        <v>2769884</v>
      </c>
      <c r="L613" s="1">
        <f>Tabla1[[#This Row],[cantidad]]*Tabla1[[#This Row],[costo_unitario]]</f>
        <v>1994316</v>
      </c>
      <c r="M613" s="1">
        <f>Tabla1[[#This Row],[venta_total]]-Tabla1[[#This Row],[costo_total]]</f>
        <v>775568</v>
      </c>
      <c r="N613" s="3">
        <f>Tabla1[[#This Row],[margen]]/Tabla1[[#This Row],[venta_total]]</f>
        <v>0.28000017329245558</v>
      </c>
    </row>
    <row r="614" spans="1:14" x14ac:dyDescent="0.25">
      <c r="A614" s="2">
        <v>45314</v>
      </c>
      <c r="B614" t="s">
        <v>32</v>
      </c>
      <c r="C614" t="s">
        <v>11</v>
      </c>
      <c r="D614" t="s">
        <v>26</v>
      </c>
      <c r="E614" t="s">
        <v>13</v>
      </c>
      <c r="F614" t="s">
        <v>27</v>
      </c>
      <c r="G614">
        <v>1</v>
      </c>
      <c r="H614" s="1">
        <v>7220864</v>
      </c>
      <c r="I614" s="1">
        <v>5776691</v>
      </c>
      <c r="J614" t="s">
        <v>29</v>
      </c>
      <c r="K614" s="1">
        <f>Tabla1[[#This Row],[cantidad]]*Tabla1[[#This Row],[precio_unitario]]</f>
        <v>7220864</v>
      </c>
      <c r="L614" s="1">
        <f>Tabla1[[#This Row],[cantidad]]*Tabla1[[#This Row],[costo_unitario]]</f>
        <v>5776691</v>
      </c>
      <c r="M614" s="1">
        <f>Tabla1[[#This Row],[venta_total]]-Tabla1[[#This Row],[costo_total]]</f>
        <v>1444173</v>
      </c>
      <c r="N614" s="3">
        <f>Tabla1[[#This Row],[margen]]/Tabla1[[#This Row],[venta_total]]</f>
        <v>0.20000002769751654</v>
      </c>
    </row>
    <row r="615" spans="1:14" x14ac:dyDescent="0.25">
      <c r="A615" s="2">
        <v>45431</v>
      </c>
      <c r="B615" t="s">
        <v>32</v>
      </c>
      <c r="C615" t="s">
        <v>11</v>
      </c>
      <c r="D615" t="s">
        <v>38</v>
      </c>
      <c r="E615" t="s">
        <v>13</v>
      </c>
      <c r="F615" t="s">
        <v>41</v>
      </c>
      <c r="G615">
        <v>1</v>
      </c>
      <c r="H615" s="1">
        <v>6676398</v>
      </c>
      <c r="I615" s="1">
        <v>5341118</v>
      </c>
      <c r="J615" t="s">
        <v>22</v>
      </c>
      <c r="K615" s="1">
        <f>Tabla1[[#This Row],[cantidad]]*Tabla1[[#This Row],[precio_unitario]]</f>
        <v>6676398</v>
      </c>
      <c r="L615" s="1">
        <f>Tabla1[[#This Row],[cantidad]]*Tabla1[[#This Row],[costo_unitario]]</f>
        <v>5341118</v>
      </c>
      <c r="M615" s="1">
        <f>Tabla1[[#This Row],[venta_total]]-Tabla1[[#This Row],[costo_total]]</f>
        <v>1335280</v>
      </c>
      <c r="N615" s="3">
        <f>Tabla1[[#This Row],[margen]]/Tabla1[[#This Row],[venta_total]]</f>
        <v>0.20000005991254566</v>
      </c>
    </row>
    <row r="616" spans="1:14" x14ac:dyDescent="0.25">
      <c r="A616" s="2">
        <v>45462</v>
      </c>
      <c r="B616" t="s">
        <v>10</v>
      </c>
      <c r="C616" t="s">
        <v>11</v>
      </c>
      <c r="D616" t="s">
        <v>19</v>
      </c>
      <c r="E616" t="s">
        <v>13</v>
      </c>
      <c r="F616" t="s">
        <v>33</v>
      </c>
      <c r="G616">
        <v>2</v>
      </c>
      <c r="H616" s="1">
        <v>1969482</v>
      </c>
      <c r="I616" s="1">
        <v>1378637</v>
      </c>
      <c r="J616" t="s">
        <v>29</v>
      </c>
      <c r="K616" s="1">
        <f>Tabla1[[#This Row],[cantidad]]*Tabla1[[#This Row],[precio_unitario]]</f>
        <v>3938964</v>
      </c>
      <c r="L616" s="1">
        <f>Tabla1[[#This Row],[cantidad]]*Tabla1[[#This Row],[costo_unitario]]</f>
        <v>2757274</v>
      </c>
      <c r="M616" s="1">
        <f>Tabla1[[#This Row],[venta_total]]-Tabla1[[#This Row],[costo_total]]</f>
        <v>1181690</v>
      </c>
      <c r="N616" s="3">
        <f>Tabla1[[#This Row],[margen]]/Tabla1[[#This Row],[venta_total]]</f>
        <v>0.30000020309908898</v>
      </c>
    </row>
    <row r="617" spans="1:14" x14ac:dyDescent="0.25">
      <c r="A617" s="2">
        <v>45434</v>
      </c>
      <c r="B617" t="s">
        <v>32</v>
      </c>
      <c r="C617" t="s">
        <v>11</v>
      </c>
      <c r="D617" t="s">
        <v>38</v>
      </c>
      <c r="E617" t="s">
        <v>13</v>
      </c>
      <c r="F617" t="s">
        <v>41</v>
      </c>
      <c r="G617">
        <v>1</v>
      </c>
      <c r="H617" s="1">
        <v>6491681</v>
      </c>
      <c r="I617" s="1">
        <v>5193344</v>
      </c>
      <c r="J617" t="s">
        <v>15</v>
      </c>
      <c r="K617" s="1">
        <f>Tabla1[[#This Row],[cantidad]]*Tabla1[[#This Row],[precio_unitario]]</f>
        <v>6491681</v>
      </c>
      <c r="L617" s="1">
        <f>Tabla1[[#This Row],[cantidad]]*Tabla1[[#This Row],[costo_unitario]]</f>
        <v>5193344</v>
      </c>
      <c r="M617" s="1">
        <f>Tabla1[[#This Row],[venta_total]]-Tabla1[[#This Row],[costo_total]]</f>
        <v>1298337</v>
      </c>
      <c r="N617" s="3">
        <f>Tabla1[[#This Row],[margen]]/Tabla1[[#This Row],[venta_total]]</f>
        <v>0.20000012323464447</v>
      </c>
    </row>
    <row r="618" spans="1:14" x14ac:dyDescent="0.25">
      <c r="A618" s="2">
        <v>45372</v>
      </c>
      <c r="B618" t="s">
        <v>32</v>
      </c>
      <c r="C618" t="s">
        <v>11</v>
      </c>
      <c r="D618" t="s">
        <v>12</v>
      </c>
      <c r="E618" t="s">
        <v>13</v>
      </c>
      <c r="F618" t="s">
        <v>14</v>
      </c>
      <c r="G618">
        <v>1</v>
      </c>
      <c r="H618" s="1">
        <v>4222531</v>
      </c>
      <c r="I618" s="1">
        <v>3378024</v>
      </c>
      <c r="J618" t="s">
        <v>29</v>
      </c>
      <c r="K618" s="1">
        <f>Tabla1[[#This Row],[cantidad]]*Tabla1[[#This Row],[precio_unitario]]</f>
        <v>4222531</v>
      </c>
      <c r="L618" s="1">
        <f>Tabla1[[#This Row],[cantidad]]*Tabla1[[#This Row],[costo_unitario]]</f>
        <v>3378024</v>
      </c>
      <c r="M618" s="1">
        <f>Tabla1[[#This Row],[venta_total]]-Tabla1[[#This Row],[costo_total]]</f>
        <v>844507</v>
      </c>
      <c r="N618" s="3">
        <f>Tabla1[[#This Row],[margen]]/Tabla1[[#This Row],[venta_total]]</f>
        <v>0.20000018945982873</v>
      </c>
    </row>
    <row r="619" spans="1:14" x14ac:dyDescent="0.25">
      <c r="A619" s="2">
        <v>45418</v>
      </c>
      <c r="B619" t="s">
        <v>34</v>
      </c>
      <c r="C619" t="s">
        <v>11</v>
      </c>
      <c r="D619" t="s">
        <v>38</v>
      </c>
      <c r="E619" t="s">
        <v>20</v>
      </c>
      <c r="F619" t="s">
        <v>42</v>
      </c>
      <c r="G619">
        <v>1</v>
      </c>
      <c r="H619" s="1">
        <v>2077279</v>
      </c>
      <c r="I619" s="1">
        <v>1495640</v>
      </c>
      <c r="J619" t="s">
        <v>22</v>
      </c>
      <c r="K619" s="1">
        <f>Tabla1[[#This Row],[cantidad]]*Tabla1[[#This Row],[precio_unitario]]</f>
        <v>2077279</v>
      </c>
      <c r="L619" s="1">
        <f>Tabla1[[#This Row],[cantidad]]*Tabla1[[#This Row],[costo_unitario]]</f>
        <v>1495640</v>
      </c>
      <c r="M619" s="1">
        <f>Tabla1[[#This Row],[venta_total]]-Tabla1[[#This Row],[costo_total]]</f>
        <v>581639</v>
      </c>
      <c r="N619" s="3">
        <f>Tabla1[[#This Row],[margen]]/Tabla1[[#This Row],[venta_total]]</f>
        <v>0.28000042363110589</v>
      </c>
    </row>
    <row r="620" spans="1:14" x14ac:dyDescent="0.25">
      <c r="A620" s="2">
        <v>45354</v>
      </c>
      <c r="B620" t="s">
        <v>32</v>
      </c>
      <c r="C620" t="s">
        <v>11</v>
      </c>
      <c r="D620" t="s">
        <v>23</v>
      </c>
      <c r="E620" t="s">
        <v>20</v>
      </c>
      <c r="F620" t="s">
        <v>30</v>
      </c>
      <c r="G620">
        <v>1</v>
      </c>
      <c r="H620" s="1">
        <v>891861</v>
      </c>
      <c r="I620" s="1">
        <v>624302</v>
      </c>
      <c r="J620" t="s">
        <v>15</v>
      </c>
      <c r="K620" s="1">
        <f>Tabla1[[#This Row],[cantidad]]*Tabla1[[#This Row],[precio_unitario]]</f>
        <v>891861</v>
      </c>
      <c r="L620" s="1">
        <f>Tabla1[[#This Row],[cantidad]]*Tabla1[[#This Row],[costo_unitario]]</f>
        <v>624302</v>
      </c>
      <c r="M620" s="1">
        <f>Tabla1[[#This Row],[venta_total]]-Tabla1[[#This Row],[costo_total]]</f>
        <v>267559</v>
      </c>
      <c r="N620" s="3">
        <f>Tabla1[[#This Row],[margen]]/Tabla1[[#This Row],[venta_total]]</f>
        <v>0.30000078487567011</v>
      </c>
    </row>
    <row r="621" spans="1:14" x14ac:dyDescent="0.25">
      <c r="A621" s="2">
        <v>45323</v>
      </c>
      <c r="B621" t="s">
        <v>34</v>
      </c>
      <c r="C621" t="s">
        <v>11</v>
      </c>
      <c r="D621" t="s">
        <v>38</v>
      </c>
      <c r="E621" t="s">
        <v>16</v>
      </c>
      <c r="F621" t="s">
        <v>39</v>
      </c>
      <c r="G621">
        <v>1</v>
      </c>
      <c r="H621" s="1">
        <v>5695215</v>
      </c>
      <c r="I621" s="1">
        <v>4271411</v>
      </c>
      <c r="J621" t="s">
        <v>22</v>
      </c>
      <c r="K621" s="1">
        <f>Tabla1[[#This Row],[cantidad]]*Tabla1[[#This Row],[precio_unitario]]</f>
        <v>5695215</v>
      </c>
      <c r="L621" s="1">
        <f>Tabla1[[#This Row],[cantidad]]*Tabla1[[#This Row],[costo_unitario]]</f>
        <v>4271411</v>
      </c>
      <c r="M621" s="1">
        <f>Tabla1[[#This Row],[venta_total]]-Tabla1[[#This Row],[costo_total]]</f>
        <v>1423804</v>
      </c>
      <c r="N621" s="3">
        <f>Tabla1[[#This Row],[margen]]/Tabla1[[#This Row],[venta_total]]</f>
        <v>0.2500000438964991</v>
      </c>
    </row>
    <row r="622" spans="1:14" x14ac:dyDescent="0.25">
      <c r="A622" s="2">
        <v>45370</v>
      </c>
      <c r="B622" t="s">
        <v>10</v>
      </c>
      <c r="C622" t="s">
        <v>11</v>
      </c>
      <c r="D622" t="s">
        <v>26</v>
      </c>
      <c r="E622" t="s">
        <v>13</v>
      </c>
      <c r="F622" t="s">
        <v>27</v>
      </c>
      <c r="G622">
        <v>1</v>
      </c>
      <c r="H622" s="1">
        <v>8330642</v>
      </c>
      <c r="I622" s="1">
        <v>6664513</v>
      </c>
      <c r="J622" t="s">
        <v>31</v>
      </c>
      <c r="K622" s="1">
        <f>Tabla1[[#This Row],[cantidad]]*Tabla1[[#This Row],[precio_unitario]]</f>
        <v>8330642</v>
      </c>
      <c r="L622" s="1">
        <f>Tabla1[[#This Row],[cantidad]]*Tabla1[[#This Row],[costo_unitario]]</f>
        <v>6664513</v>
      </c>
      <c r="M622" s="1">
        <f>Tabla1[[#This Row],[venta_total]]-Tabla1[[#This Row],[costo_total]]</f>
        <v>1666129</v>
      </c>
      <c r="N622" s="3">
        <f>Tabla1[[#This Row],[margen]]/Tabla1[[#This Row],[venta_total]]</f>
        <v>0.20000007202326064</v>
      </c>
    </row>
    <row r="623" spans="1:14" x14ac:dyDescent="0.25">
      <c r="A623" s="2">
        <v>45393</v>
      </c>
      <c r="B623" t="s">
        <v>18</v>
      </c>
      <c r="C623" t="s">
        <v>11</v>
      </c>
      <c r="D623" t="s">
        <v>19</v>
      </c>
      <c r="E623" t="s">
        <v>16</v>
      </c>
      <c r="F623" t="s">
        <v>35</v>
      </c>
      <c r="G623">
        <v>2</v>
      </c>
      <c r="H623" s="1">
        <v>873531</v>
      </c>
      <c r="I623" s="1">
        <v>567795</v>
      </c>
      <c r="J623" t="s">
        <v>22</v>
      </c>
      <c r="K623" s="1">
        <f>Tabla1[[#This Row],[cantidad]]*Tabla1[[#This Row],[precio_unitario]]</f>
        <v>1747062</v>
      </c>
      <c r="L623" s="1">
        <f>Tabla1[[#This Row],[cantidad]]*Tabla1[[#This Row],[costo_unitario]]</f>
        <v>1135590</v>
      </c>
      <c r="M623" s="1">
        <f>Tabla1[[#This Row],[venta_total]]-Tabla1[[#This Row],[costo_total]]</f>
        <v>611472</v>
      </c>
      <c r="N623" s="3">
        <f>Tabla1[[#This Row],[margen]]/Tabla1[[#This Row],[venta_total]]</f>
        <v>0.35000017171685949</v>
      </c>
    </row>
    <row r="624" spans="1:14" x14ac:dyDescent="0.25">
      <c r="A624" s="2">
        <v>45319</v>
      </c>
      <c r="B624" t="s">
        <v>18</v>
      </c>
      <c r="C624" t="s">
        <v>11</v>
      </c>
      <c r="D624" t="s">
        <v>26</v>
      </c>
      <c r="E624" t="s">
        <v>20</v>
      </c>
      <c r="F624" t="s">
        <v>36</v>
      </c>
      <c r="G624">
        <v>1</v>
      </c>
      <c r="H624" s="1">
        <v>2627985</v>
      </c>
      <c r="I624" s="1">
        <v>1970988</v>
      </c>
      <c r="J624" t="s">
        <v>29</v>
      </c>
      <c r="K624" s="1">
        <f>Tabla1[[#This Row],[cantidad]]*Tabla1[[#This Row],[precio_unitario]]</f>
        <v>2627985</v>
      </c>
      <c r="L624" s="1">
        <f>Tabla1[[#This Row],[cantidad]]*Tabla1[[#This Row],[costo_unitario]]</f>
        <v>1970988</v>
      </c>
      <c r="M624" s="1">
        <f>Tabla1[[#This Row],[venta_total]]-Tabla1[[#This Row],[costo_total]]</f>
        <v>656997</v>
      </c>
      <c r="N624" s="3">
        <f>Tabla1[[#This Row],[margen]]/Tabla1[[#This Row],[venta_total]]</f>
        <v>0.25000028538975677</v>
      </c>
    </row>
    <row r="625" spans="1:14" x14ac:dyDescent="0.25">
      <c r="A625" s="2">
        <v>45413</v>
      </c>
      <c r="B625" t="s">
        <v>32</v>
      </c>
      <c r="C625" t="s">
        <v>11</v>
      </c>
      <c r="D625" t="s">
        <v>23</v>
      </c>
      <c r="E625" t="s">
        <v>20</v>
      </c>
      <c r="F625" t="s">
        <v>30</v>
      </c>
      <c r="G625">
        <v>1</v>
      </c>
      <c r="H625" s="1">
        <v>961619</v>
      </c>
      <c r="I625" s="1">
        <v>673133</v>
      </c>
      <c r="J625" t="s">
        <v>25</v>
      </c>
      <c r="K625" s="1">
        <f>Tabla1[[#This Row],[cantidad]]*Tabla1[[#This Row],[precio_unitario]]</f>
        <v>961619</v>
      </c>
      <c r="L625" s="1">
        <f>Tabla1[[#This Row],[cantidad]]*Tabla1[[#This Row],[costo_unitario]]</f>
        <v>673133</v>
      </c>
      <c r="M625" s="1">
        <f>Tabla1[[#This Row],[venta_total]]-Tabla1[[#This Row],[costo_total]]</f>
        <v>288486</v>
      </c>
      <c r="N625" s="3">
        <f>Tabla1[[#This Row],[margen]]/Tabla1[[#This Row],[venta_total]]</f>
        <v>0.30000031197386906</v>
      </c>
    </row>
    <row r="626" spans="1:14" x14ac:dyDescent="0.25">
      <c r="A626" s="2">
        <v>45362</v>
      </c>
      <c r="B626" t="s">
        <v>10</v>
      </c>
      <c r="C626" t="s">
        <v>11</v>
      </c>
      <c r="D626" t="s">
        <v>12</v>
      </c>
      <c r="E626" t="s">
        <v>16</v>
      </c>
      <c r="F626" t="s">
        <v>17</v>
      </c>
      <c r="G626">
        <v>1</v>
      </c>
      <c r="H626" s="1">
        <v>2838242</v>
      </c>
      <c r="I626" s="1">
        <v>2213828</v>
      </c>
      <c r="J626" t="s">
        <v>15</v>
      </c>
      <c r="K626" s="1">
        <f>Tabla1[[#This Row],[cantidad]]*Tabla1[[#This Row],[precio_unitario]]</f>
        <v>2838242</v>
      </c>
      <c r="L626" s="1">
        <f>Tabla1[[#This Row],[cantidad]]*Tabla1[[#This Row],[costo_unitario]]</f>
        <v>2213828</v>
      </c>
      <c r="M626" s="1">
        <f>Tabla1[[#This Row],[venta_total]]-Tabla1[[#This Row],[costo_total]]</f>
        <v>624414</v>
      </c>
      <c r="N626" s="3">
        <f>Tabla1[[#This Row],[margen]]/Tabla1[[#This Row],[venta_total]]</f>
        <v>0.22000026777138806</v>
      </c>
    </row>
    <row r="627" spans="1:14" x14ac:dyDescent="0.25">
      <c r="A627" s="2">
        <v>45461</v>
      </c>
      <c r="B627" t="s">
        <v>10</v>
      </c>
      <c r="C627" t="s">
        <v>11</v>
      </c>
      <c r="D627" t="s">
        <v>38</v>
      </c>
      <c r="E627" t="s">
        <v>16</v>
      </c>
      <c r="F627" t="s">
        <v>39</v>
      </c>
      <c r="G627">
        <v>1</v>
      </c>
      <c r="H627" s="1">
        <v>3771981</v>
      </c>
      <c r="I627" s="1">
        <v>2828985</v>
      </c>
      <c r="J627" t="s">
        <v>15</v>
      </c>
      <c r="K627" s="1">
        <f>Tabla1[[#This Row],[cantidad]]*Tabla1[[#This Row],[precio_unitario]]</f>
        <v>3771981</v>
      </c>
      <c r="L627" s="1">
        <f>Tabla1[[#This Row],[cantidad]]*Tabla1[[#This Row],[costo_unitario]]</f>
        <v>2828985</v>
      </c>
      <c r="M627" s="1">
        <f>Tabla1[[#This Row],[venta_total]]-Tabla1[[#This Row],[costo_total]]</f>
        <v>942996</v>
      </c>
      <c r="N627" s="3">
        <f>Tabla1[[#This Row],[margen]]/Tabla1[[#This Row],[venta_total]]</f>
        <v>0.25000019883451163</v>
      </c>
    </row>
    <row r="628" spans="1:14" x14ac:dyDescent="0.25">
      <c r="A628" s="2">
        <v>45346</v>
      </c>
      <c r="B628" t="s">
        <v>18</v>
      </c>
      <c r="C628" t="s">
        <v>11</v>
      </c>
      <c r="D628" t="s">
        <v>38</v>
      </c>
      <c r="E628" t="s">
        <v>13</v>
      </c>
      <c r="F628" t="s">
        <v>41</v>
      </c>
      <c r="G628">
        <v>1</v>
      </c>
      <c r="H628" s="1">
        <v>6376728</v>
      </c>
      <c r="I628" s="1">
        <v>5101382</v>
      </c>
      <c r="J628" t="s">
        <v>22</v>
      </c>
      <c r="K628" s="1">
        <f>Tabla1[[#This Row],[cantidad]]*Tabla1[[#This Row],[precio_unitario]]</f>
        <v>6376728</v>
      </c>
      <c r="L628" s="1">
        <f>Tabla1[[#This Row],[cantidad]]*Tabla1[[#This Row],[costo_unitario]]</f>
        <v>5101382</v>
      </c>
      <c r="M628" s="1">
        <f>Tabla1[[#This Row],[venta_total]]-Tabla1[[#This Row],[costo_total]]</f>
        <v>1275346</v>
      </c>
      <c r="N628" s="3">
        <f>Tabla1[[#This Row],[margen]]/Tabla1[[#This Row],[venta_total]]</f>
        <v>0.20000006272809503</v>
      </c>
    </row>
    <row r="629" spans="1:14" x14ac:dyDescent="0.25">
      <c r="A629" s="2">
        <v>45298</v>
      </c>
      <c r="B629" t="s">
        <v>18</v>
      </c>
      <c r="C629" t="s">
        <v>11</v>
      </c>
      <c r="D629" t="s">
        <v>26</v>
      </c>
      <c r="E629" t="s">
        <v>20</v>
      </c>
      <c r="F629" t="s">
        <v>36</v>
      </c>
      <c r="G629">
        <v>1</v>
      </c>
      <c r="H629" s="1">
        <v>2061966</v>
      </c>
      <c r="I629" s="1">
        <v>1546474</v>
      </c>
      <c r="J629" t="s">
        <v>15</v>
      </c>
      <c r="K629" s="1">
        <f>Tabla1[[#This Row],[cantidad]]*Tabla1[[#This Row],[precio_unitario]]</f>
        <v>2061966</v>
      </c>
      <c r="L629" s="1">
        <f>Tabla1[[#This Row],[cantidad]]*Tabla1[[#This Row],[costo_unitario]]</f>
        <v>1546474</v>
      </c>
      <c r="M629" s="1">
        <f>Tabla1[[#This Row],[venta_total]]-Tabla1[[#This Row],[costo_total]]</f>
        <v>515492</v>
      </c>
      <c r="N629" s="3">
        <f>Tabla1[[#This Row],[margen]]/Tabla1[[#This Row],[venta_total]]</f>
        <v>0.25000024248702452</v>
      </c>
    </row>
    <row r="630" spans="1:14" x14ac:dyDescent="0.25">
      <c r="A630" s="2">
        <v>45337</v>
      </c>
      <c r="B630" t="s">
        <v>34</v>
      </c>
      <c r="C630" t="s">
        <v>11</v>
      </c>
      <c r="D630" t="s">
        <v>23</v>
      </c>
      <c r="E630" t="s">
        <v>20</v>
      </c>
      <c r="F630" t="s">
        <v>30</v>
      </c>
      <c r="G630">
        <v>1</v>
      </c>
      <c r="H630" s="1">
        <v>1052162</v>
      </c>
      <c r="I630" s="1">
        <v>736513</v>
      </c>
      <c r="J630" t="s">
        <v>25</v>
      </c>
      <c r="K630" s="1">
        <f>Tabla1[[#This Row],[cantidad]]*Tabla1[[#This Row],[precio_unitario]]</f>
        <v>1052162</v>
      </c>
      <c r="L630" s="1">
        <f>Tabla1[[#This Row],[cantidad]]*Tabla1[[#This Row],[costo_unitario]]</f>
        <v>736513</v>
      </c>
      <c r="M630" s="1">
        <f>Tabla1[[#This Row],[venta_total]]-Tabla1[[#This Row],[costo_total]]</f>
        <v>315649</v>
      </c>
      <c r="N630" s="3">
        <f>Tabla1[[#This Row],[margen]]/Tabla1[[#This Row],[venta_total]]</f>
        <v>0.30000038016959368</v>
      </c>
    </row>
    <row r="631" spans="1:14" x14ac:dyDescent="0.25">
      <c r="A631" s="2">
        <v>45385</v>
      </c>
      <c r="B631" t="s">
        <v>34</v>
      </c>
      <c r="C631" t="s">
        <v>11</v>
      </c>
      <c r="D631" t="s">
        <v>23</v>
      </c>
      <c r="E631" t="s">
        <v>16</v>
      </c>
      <c r="F631" t="s">
        <v>24</v>
      </c>
      <c r="G631">
        <v>1</v>
      </c>
      <c r="H631" s="1">
        <v>1914434</v>
      </c>
      <c r="I631" s="1">
        <v>1435825</v>
      </c>
      <c r="J631" t="s">
        <v>25</v>
      </c>
      <c r="K631" s="1">
        <f>Tabla1[[#This Row],[cantidad]]*Tabla1[[#This Row],[precio_unitario]]</f>
        <v>1914434</v>
      </c>
      <c r="L631" s="1">
        <f>Tabla1[[#This Row],[cantidad]]*Tabla1[[#This Row],[costo_unitario]]</f>
        <v>1435825</v>
      </c>
      <c r="M631" s="1">
        <f>Tabla1[[#This Row],[venta_total]]-Tabla1[[#This Row],[costo_total]]</f>
        <v>478609</v>
      </c>
      <c r="N631" s="3">
        <f>Tabla1[[#This Row],[margen]]/Tabla1[[#This Row],[venta_total]]</f>
        <v>0.25000026117379864</v>
      </c>
    </row>
    <row r="632" spans="1:14" x14ac:dyDescent="0.25">
      <c r="A632" s="2">
        <v>45457</v>
      </c>
      <c r="B632" t="s">
        <v>18</v>
      </c>
      <c r="C632" t="s">
        <v>11</v>
      </c>
      <c r="D632" t="s">
        <v>23</v>
      </c>
      <c r="E632" t="s">
        <v>16</v>
      </c>
      <c r="F632" t="s">
        <v>24</v>
      </c>
      <c r="G632">
        <v>1</v>
      </c>
      <c r="H632" s="1">
        <v>1339770</v>
      </c>
      <c r="I632" s="1">
        <v>1004827</v>
      </c>
      <c r="J632" t="s">
        <v>31</v>
      </c>
      <c r="K632" s="1">
        <f>Tabla1[[#This Row],[cantidad]]*Tabla1[[#This Row],[precio_unitario]]</f>
        <v>1339770</v>
      </c>
      <c r="L632" s="1">
        <f>Tabla1[[#This Row],[cantidad]]*Tabla1[[#This Row],[costo_unitario]]</f>
        <v>1004827</v>
      </c>
      <c r="M632" s="1">
        <f>Tabla1[[#This Row],[venta_total]]-Tabla1[[#This Row],[costo_total]]</f>
        <v>334943</v>
      </c>
      <c r="N632" s="3">
        <f>Tabla1[[#This Row],[margen]]/Tabla1[[#This Row],[venta_total]]</f>
        <v>0.25000037319838481</v>
      </c>
    </row>
    <row r="633" spans="1:14" x14ac:dyDescent="0.25">
      <c r="A633" s="2">
        <v>45305</v>
      </c>
      <c r="B633" t="s">
        <v>10</v>
      </c>
      <c r="C633" t="s">
        <v>11</v>
      </c>
      <c r="D633" t="s">
        <v>19</v>
      </c>
      <c r="E633" t="s">
        <v>13</v>
      </c>
      <c r="F633" t="s">
        <v>33</v>
      </c>
      <c r="G633">
        <v>1</v>
      </c>
      <c r="H633" s="1">
        <v>1440543</v>
      </c>
      <c r="I633" s="1">
        <v>1008380</v>
      </c>
      <c r="J633" t="s">
        <v>29</v>
      </c>
      <c r="K633" s="1">
        <f>Tabla1[[#This Row],[cantidad]]*Tabla1[[#This Row],[precio_unitario]]</f>
        <v>1440543</v>
      </c>
      <c r="L633" s="1">
        <f>Tabla1[[#This Row],[cantidad]]*Tabla1[[#This Row],[costo_unitario]]</f>
        <v>1008380</v>
      </c>
      <c r="M633" s="1">
        <f>Tabla1[[#This Row],[venta_total]]-Tabla1[[#This Row],[costo_total]]</f>
        <v>432163</v>
      </c>
      <c r="N633" s="3">
        <f>Tabla1[[#This Row],[margen]]/Tabla1[[#This Row],[venta_total]]</f>
        <v>0.30000006941826796</v>
      </c>
    </row>
    <row r="634" spans="1:14" x14ac:dyDescent="0.25">
      <c r="A634" s="2">
        <v>45448</v>
      </c>
      <c r="B634" t="s">
        <v>34</v>
      </c>
      <c r="C634" t="s">
        <v>11</v>
      </c>
      <c r="D634" t="s">
        <v>38</v>
      </c>
      <c r="E634" t="s">
        <v>20</v>
      </c>
      <c r="F634" t="s">
        <v>42</v>
      </c>
      <c r="G634">
        <v>1</v>
      </c>
      <c r="H634" s="1">
        <v>2851320</v>
      </c>
      <c r="I634" s="1">
        <v>2052950</v>
      </c>
      <c r="J634" t="s">
        <v>15</v>
      </c>
      <c r="K634" s="1">
        <f>Tabla1[[#This Row],[cantidad]]*Tabla1[[#This Row],[precio_unitario]]</f>
        <v>2851320</v>
      </c>
      <c r="L634" s="1">
        <f>Tabla1[[#This Row],[cantidad]]*Tabla1[[#This Row],[costo_unitario]]</f>
        <v>2052950</v>
      </c>
      <c r="M634" s="1">
        <f>Tabla1[[#This Row],[venta_total]]-Tabla1[[#This Row],[costo_total]]</f>
        <v>798370</v>
      </c>
      <c r="N634" s="3">
        <f>Tabla1[[#This Row],[margen]]/Tabla1[[#This Row],[venta_total]]</f>
        <v>0.28000014028590264</v>
      </c>
    </row>
    <row r="635" spans="1:14" x14ac:dyDescent="0.25">
      <c r="A635" s="2">
        <v>45392</v>
      </c>
      <c r="B635" t="s">
        <v>34</v>
      </c>
      <c r="C635" t="s">
        <v>11</v>
      </c>
      <c r="D635" t="s">
        <v>38</v>
      </c>
      <c r="E635" t="s">
        <v>13</v>
      </c>
      <c r="F635" t="s">
        <v>41</v>
      </c>
      <c r="G635">
        <v>1</v>
      </c>
      <c r="H635" s="1">
        <v>7090631</v>
      </c>
      <c r="I635" s="1">
        <v>5672504</v>
      </c>
      <c r="J635" t="s">
        <v>22</v>
      </c>
      <c r="K635" s="1">
        <f>Tabla1[[#This Row],[cantidad]]*Tabla1[[#This Row],[precio_unitario]]</f>
        <v>7090631</v>
      </c>
      <c r="L635" s="1">
        <f>Tabla1[[#This Row],[cantidad]]*Tabla1[[#This Row],[costo_unitario]]</f>
        <v>5672504</v>
      </c>
      <c r="M635" s="1">
        <f>Tabla1[[#This Row],[venta_total]]-Tabla1[[#This Row],[costo_total]]</f>
        <v>1418127</v>
      </c>
      <c r="N635" s="3">
        <f>Tabla1[[#This Row],[margen]]/Tabla1[[#This Row],[venta_total]]</f>
        <v>0.20000011282493757</v>
      </c>
    </row>
    <row r="636" spans="1:14" x14ac:dyDescent="0.25">
      <c r="A636" s="2">
        <v>45456</v>
      </c>
      <c r="B636" t="s">
        <v>18</v>
      </c>
      <c r="C636" t="s">
        <v>11</v>
      </c>
      <c r="D636" t="s">
        <v>12</v>
      </c>
      <c r="E636" t="s">
        <v>20</v>
      </c>
      <c r="F636" t="s">
        <v>37</v>
      </c>
      <c r="G636">
        <v>1</v>
      </c>
      <c r="H636" s="1">
        <v>2249321</v>
      </c>
      <c r="I636" s="1">
        <v>1686990</v>
      </c>
      <c r="J636" t="s">
        <v>22</v>
      </c>
      <c r="K636" s="1">
        <f>Tabla1[[#This Row],[cantidad]]*Tabla1[[#This Row],[precio_unitario]]</f>
        <v>2249321</v>
      </c>
      <c r="L636" s="1">
        <f>Tabla1[[#This Row],[cantidad]]*Tabla1[[#This Row],[costo_unitario]]</f>
        <v>1686990</v>
      </c>
      <c r="M636" s="1">
        <f>Tabla1[[#This Row],[venta_total]]-Tabla1[[#This Row],[costo_total]]</f>
        <v>562331</v>
      </c>
      <c r="N636" s="3">
        <f>Tabla1[[#This Row],[margen]]/Tabla1[[#This Row],[venta_total]]</f>
        <v>0.25000033343395628</v>
      </c>
    </row>
    <row r="637" spans="1:14" x14ac:dyDescent="0.25">
      <c r="A637" s="2">
        <v>45369</v>
      </c>
      <c r="B637" t="s">
        <v>10</v>
      </c>
      <c r="C637" t="s">
        <v>11</v>
      </c>
      <c r="D637" t="s">
        <v>23</v>
      </c>
      <c r="E637" t="s">
        <v>20</v>
      </c>
      <c r="F637" t="s">
        <v>30</v>
      </c>
      <c r="G637">
        <v>1</v>
      </c>
      <c r="H637" s="1">
        <v>865164</v>
      </c>
      <c r="I637" s="1">
        <v>605614</v>
      </c>
      <c r="J637" t="s">
        <v>31</v>
      </c>
      <c r="K637" s="1">
        <f>Tabla1[[#This Row],[cantidad]]*Tabla1[[#This Row],[precio_unitario]]</f>
        <v>865164</v>
      </c>
      <c r="L637" s="1">
        <f>Tabla1[[#This Row],[cantidad]]*Tabla1[[#This Row],[costo_unitario]]</f>
        <v>605614</v>
      </c>
      <c r="M637" s="1">
        <f>Tabla1[[#This Row],[venta_total]]-Tabla1[[#This Row],[costo_total]]</f>
        <v>259550</v>
      </c>
      <c r="N637" s="3">
        <f>Tabla1[[#This Row],[margen]]/Tabla1[[#This Row],[venta_total]]</f>
        <v>0.30000092468017625</v>
      </c>
    </row>
    <row r="638" spans="1:14" x14ac:dyDescent="0.25">
      <c r="A638" s="2">
        <v>45459</v>
      </c>
      <c r="B638" t="s">
        <v>32</v>
      </c>
      <c r="C638" t="s">
        <v>11</v>
      </c>
      <c r="D638" t="s">
        <v>12</v>
      </c>
      <c r="E638" t="s">
        <v>16</v>
      </c>
      <c r="F638" t="s">
        <v>17</v>
      </c>
      <c r="G638">
        <v>1</v>
      </c>
      <c r="H638" s="1">
        <v>2892257</v>
      </c>
      <c r="I638" s="1">
        <v>2255960</v>
      </c>
      <c r="J638" t="s">
        <v>29</v>
      </c>
      <c r="K638" s="1">
        <f>Tabla1[[#This Row],[cantidad]]*Tabla1[[#This Row],[precio_unitario]]</f>
        <v>2892257</v>
      </c>
      <c r="L638" s="1">
        <f>Tabla1[[#This Row],[cantidad]]*Tabla1[[#This Row],[costo_unitario]]</f>
        <v>2255960</v>
      </c>
      <c r="M638" s="1">
        <f>Tabla1[[#This Row],[venta_total]]-Tabla1[[#This Row],[costo_total]]</f>
        <v>636297</v>
      </c>
      <c r="N638" s="3">
        <f>Tabla1[[#This Row],[margen]]/Tabla1[[#This Row],[venta_total]]</f>
        <v>0.2200001590453407</v>
      </c>
    </row>
    <row r="639" spans="1:14" x14ac:dyDescent="0.25">
      <c r="A639" s="2">
        <v>45423</v>
      </c>
      <c r="B639" t="s">
        <v>34</v>
      </c>
      <c r="C639" t="s">
        <v>11</v>
      </c>
      <c r="D639" t="s">
        <v>12</v>
      </c>
      <c r="E639" t="s">
        <v>13</v>
      </c>
      <c r="F639" t="s">
        <v>14</v>
      </c>
      <c r="G639">
        <v>1</v>
      </c>
      <c r="H639" s="1">
        <v>5304718</v>
      </c>
      <c r="I639" s="1">
        <v>4243774</v>
      </c>
      <c r="J639" t="s">
        <v>25</v>
      </c>
      <c r="K639" s="1">
        <f>Tabla1[[#This Row],[cantidad]]*Tabla1[[#This Row],[precio_unitario]]</f>
        <v>5304718</v>
      </c>
      <c r="L639" s="1">
        <f>Tabla1[[#This Row],[cantidad]]*Tabla1[[#This Row],[costo_unitario]]</f>
        <v>4243774</v>
      </c>
      <c r="M639" s="1">
        <f>Tabla1[[#This Row],[venta_total]]-Tabla1[[#This Row],[costo_total]]</f>
        <v>1060944</v>
      </c>
      <c r="N639" s="3">
        <f>Tabla1[[#This Row],[margen]]/Tabla1[[#This Row],[venta_total]]</f>
        <v>0.20000007540457382</v>
      </c>
    </row>
    <row r="640" spans="1:14" x14ac:dyDescent="0.25">
      <c r="A640" s="2">
        <v>45423</v>
      </c>
      <c r="B640" t="s">
        <v>32</v>
      </c>
      <c r="C640" t="s">
        <v>11</v>
      </c>
      <c r="D640" t="s">
        <v>19</v>
      </c>
      <c r="E640" t="s">
        <v>20</v>
      </c>
      <c r="F640" t="s">
        <v>21</v>
      </c>
      <c r="G640">
        <v>2</v>
      </c>
      <c r="H640" s="1">
        <v>187556</v>
      </c>
      <c r="I640" s="1">
        <v>112533</v>
      </c>
      <c r="J640" t="s">
        <v>29</v>
      </c>
      <c r="K640" s="1">
        <f>Tabla1[[#This Row],[cantidad]]*Tabla1[[#This Row],[precio_unitario]]</f>
        <v>375112</v>
      </c>
      <c r="L640" s="1">
        <f>Tabla1[[#This Row],[cantidad]]*Tabla1[[#This Row],[costo_unitario]]</f>
        <v>225066</v>
      </c>
      <c r="M640" s="1">
        <f>Tabla1[[#This Row],[venta_total]]-Tabla1[[#This Row],[costo_total]]</f>
        <v>150046</v>
      </c>
      <c r="N640" s="3">
        <f>Tabla1[[#This Row],[margen]]/Tabla1[[#This Row],[venta_total]]</f>
        <v>0.400003199044552</v>
      </c>
    </row>
    <row r="641" spans="1:14" x14ac:dyDescent="0.25">
      <c r="A641" s="2">
        <v>45326</v>
      </c>
      <c r="B641" t="s">
        <v>34</v>
      </c>
      <c r="C641" t="s">
        <v>11</v>
      </c>
      <c r="D641" t="s">
        <v>23</v>
      </c>
      <c r="E641" t="s">
        <v>20</v>
      </c>
      <c r="F641" t="s">
        <v>30</v>
      </c>
      <c r="G641">
        <v>1</v>
      </c>
      <c r="H641" s="1">
        <v>1293067</v>
      </c>
      <c r="I641" s="1">
        <v>905146</v>
      </c>
      <c r="J641" t="s">
        <v>15</v>
      </c>
      <c r="K641" s="1">
        <f>Tabla1[[#This Row],[cantidad]]*Tabla1[[#This Row],[precio_unitario]]</f>
        <v>1293067</v>
      </c>
      <c r="L641" s="1">
        <f>Tabla1[[#This Row],[cantidad]]*Tabla1[[#This Row],[costo_unitario]]</f>
        <v>905146</v>
      </c>
      <c r="M641" s="1">
        <f>Tabla1[[#This Row],[venta_total]]-Tabla1[[#This Row],[costo_total]]</f>
        <v>387921</v>
      </c>
      <c r="N641" s="3">
        <f>Tabla1[[#This Row],[margen]]/Tabla1[[#This Row],[venta_total]]</f>
        <v>0.30000069601961848</v>
      </c>
    </row>
    <row r="642" spans="1:14" x14ac:dyDescent="0.25">
      <c r="A642" s="2">
        <v>45335</v>
      </c>
      <c r="B642" t="s">
        <v>32</v>
      </c>
      <c r="C642" t="s">
        <v>11</v>
      </c>
      <c r="D642" t="s">
        <v>26</v>
      </c>
      <c r="E642" t="s">
        <v>16</v>
      </c>
      <c r="F642" t="s">
        <v>40</v>
      </c>
      <c r="G642">
        <v>1</v>
      </c>
      <c r="H642" s="1">
        <v>4543545</v>
      </c>
      <c r="I642" s="1">
        <v>3543965</v>
      </c>
      <c r="J642" t="s">
        <v>15</v>
      </c>
      <c r="K642" s="1">
        <f>Tabla1[[#This Row],[cantidad]]*Tabla1[[#This Row],[precio_unitario]]</f>
        <v>4543545</v>
      </c>
      <c r="L642" s="1">
        <f>Tabla1[[#This Row],[cantidad]]*Tabla1[[#This Row],[costo_unitario]]</f>
        <v>3543965</v>
      </c>
      <c r="M642" s="1">
        <f>Tabla1[[#This Row],[venta_total]]-Tabla1[[#This Row],[costo_total]]</f>
        <v>999580</v>
      </c>
      <c r="N642" s="3">
        <f>Tabla1[[#This Row],[margen]]/Tabla1[[#This Row],[venta_total]]</f>
        <v>0.22000002200924609</v>
      </c>
    </row>
    <row r="643" spans="1:14" x14ac:dyDescent="0.25">
      <c r="A643" s="2">
        <v>45337</v>
      </c>
      <c r="B643" t="s">
        <v>32</v>
      </c>
      <c r="C643" t="s">
        <v>11</v>
      </c>
      <c r="D643" t="s">
        <v>19</v>
      </c>
      <c r="E643" t="s">
        <v>20</v>
      </c>
      <c r="F643" t="s">
        <v>21</v>
      </c>
      <c r="G643">
        <v>2</v>
      </c>
      <c r="H643" s="1">
        <v>553619</v>
      </c>
      <c r="I643" s="1">
        <v>332171</v>
      </c>
      <c r="J643" t="s">
        <v>29</v>
      </c>
      <c r="K643" s="1">
        <f>Tabla1[[#This Row],[cantidad]]*Tabla1[[#This Row],[precio_unitario]]</f>
        <v>1107238</v>
      </c>
      <c r="L643" s="1">
        <f>Tabla1[[#This Row],[cantidad]]*Tabla1[[#This Row],[costo_unitario]]</f>
        <v>664342</v>
      </c>
      <c r="M643" s="1">
        <f>Tabla1[[#This Row],[venta_total]]-Tabla1[[#This Row],[costo_total]]</f>
        <v>442896</v>
      </c>
      <c r="N643" s="3">
        <f>Tabla1[[#This Row],[margen]]/Tabla1[[#This Row],[venta_total]]</f>
        <v>0.40000072251855517</v>
      </c>
    </row>
    <row r="644" spans="1:14" x14ac:dyDescent="0.25">
      <c r="A644" s="2">
        <v>45326</v>
      </c>
      <c r="B644" t="s">
        <v>18</v>
      </c>
      <c r="C644" t="s">
        <v>11</v>
      </c>
      <c r="D644" t="s">
        <v>12</v>
      </c>
      <c r="E644" t="s">
        <v>16</v>
      </c>
      <c r="F644" t="s">
        <v>17</v>
      </c>
      <c r="G644">
        <v>1</v>
      </c>
      <c r="H644" s="1">
        <v>3668456</v>
      </c>
      <c r="I644" s="1">
        <v>2861395</v>
      </c>
      <c r="J644" t="s">
        <v>22</v>
      </c>
      <c r="K644" s="1">
        <f>Tabla1[[#This Row],[cantidad]]*Tabla1[[#This Row],[precio_unitario]]</f>
        <v>3668456</v>
      </c>
      <c r="L644" s="1">
        <f>Tabla1[[#This Row],[cantidad]]*Tabla1[[#This Row],[costo_unitario]]</f>
        <v>2861395</v>
      </c>
      <c r="M644" s="1">
        <f>Tabla1[[#This Row],[venta_total]]-Tabla1[[#This Row],[costo_total]]</f>
        <v>807061</v>
      </c>
      <c r="N644" s="3">
        <f>Tabla1[[#This Row],[margen]]/Tabla1[[#This Row],[venta_total]]</f>
        <v>0.22000018536408777</v>
      </c>
    </row>
    <row r="645" spans="1:14" x14ac:dyDescent="0.25">
      <c r="A645" s="2">
        <v>45417</v>
      </c>
      <c r="B645" t="s">
        <v>10</v>
      </c>
      <c r="C645" t="s">
        <v>11</v>
      </c>
      <c r="D645" t="s">
        <v>12</v>
      </c>
      <c r="E645" t="s">
        <v>20</v>
      </c>
      <c r="F645" t="s">
        <v>37</v>
      </c>
      <c r="G645">
        <v>1</v>
      </c>
      <c r="H645" s="1">
        <v>1781819</v>
      </c>
      <c r="I645" s="1">
        <v>1336364</v>
      </c>
      <c r="J645" t="s">
        <v>22</v>
      </c>
      <c r="K645" s="1">
        <f>Tabla1[[#This Row],[cantidad]]*Tabla1[[#This Row],[precio_unitario]]</f>
        <v>1781819</v>
      </c>
      <c r="L645" s="1">
        <f>Tabla1[[#This Row],[cantidad]]*Tabla1[[#This Row],[costo_unitario]]</f>
        <v>1336364</v>
      </c>
      <c r="M645" s="1">
        <f>Tabla1[[#This Row],[venta_total]]-Tabla1[[#This Row],[costo_total]]</f>
        <v>445455</v>
      </c>
      <c r="N645" s="3">
        <f>Tabla1[[#This Row],[margen]]/Tabla1[[#This Row],[venta_total]]</f>
        <v>0.25000014030605805</v>
      </c>
    </row>
    <row r="646" spans="1:14" x14ac:dyDescent="0.25">
      <c r="A646" s="2">
        <v>45326</v>
      </c>
      <c r="B646" t="s">
        <v>34</v>
      </c>
      <c r="C646" t="s">
        <v>11</v>
      </c>
      <c r="D646" t="s">
        <v>12</v>
      </c>
      <c r="E646" t="s">
        <v>20</v>
      </c>
      <c r="F646" t="s">
        <v>37</v>
      </c>
      <c r="G646">
        <v>1</v>
      </c>
      <c r="H646" s="1">
        <v>1786744</v>
      </c>
      <c r="I646" s="1">
        <v>1340058</v>
      </c>
      <c r="J646" t="s">
        <v>25</v>
      </c>
      <c r="K646" s="1">
        <f>Tabla1[[#This Row],[cantidad]]*Tabla1[[#This Row],[precio_unitario]]</f>
        <v>1786744</v>
      </c>
      <c r="L646" s="1">
        <f>Tabla1[[#This Row],[cantidad]]*Tabla1[[#This Row],[costo_unitario]]</f>
        <v>1340058</v>
      </c>
      <c r="M646" s="1">
        <f>Tabla1[[#This Row],[venta_total]]-Tabla1[[#This Row],[costo_total]]</f>
        <v>446686</v>
      </c>
      <c r="N646" s="3">
        <f>Tabla1[[#This Row],[margen]]/Tabla1[[#This Row],[venta_total]]</f>
        <v>0.25</v>
      </c>
    </row>
    <row r="647" spans="1:14" x14ac:dyDescent="0.25">
      <c r="A647" s="2">
        <v>45350</v>
      </c>
      <c r="B647" t="s">
        <v>18</v>
      </c>
      <c r="C647" t="s">
        <v>11</v>
      </c>
      <c r="D647" t="s">
        <v>12</v>
      </c>
      <c r="E647" t="s">
        <v>20</v>
      </c>
      <c r="F647" t="s">
        <v>37</v>
      </c>
      <c r="G647">
        <v>1</v>
      </c>
      <c r="H647" s="1">
        <v>2692296</v>
      </c>
      <c r="I647" s="1">
        <v>2019222</v>
      </c>
      <c r="J647" t="s">
        <v>31</v>
      </c>
      <c r="K647" s="1">
        <f>Tabla1[[#This Row],[cantidad]]*Tabla1[[#This Row],[precio_unitario]]</f>
        <v>2692296</v>
      </c>
      <c r="L647" s="1">
        <f>Tabla1[[#This Row],[cantidad]]*Tabla1[[#This Row],[costo_unitario]]</f>
        <v>2019222</v>
      </c>
      <c r="M647" s="1">
        <f>Tabla1[[#This Row],[venta_total]]-Tabla1[[#This Row],[costo_total]]</f>
        <v>673074</v>
      </c>
      <c r="N647" s="3">
        <f>Tabla1[[#This Row],[margen]]/Tabla1[[#This Row],[venta_total]]</f>
        <v>0.25</v>
      </c>
    </row>
    <row r="648" spans="1:14" x14ac:dyDescent="0.25">
      <c r="A648" s="2">
        <v>45322</v>
      </c>
      <c r="B648" t="s">
        <v>32</v>
      </c>
      <c r="C648" t="s">
        <v>11</v>
      </c>
      <c r="D648" t="s">
        <v>19</v>
      </c>
      <c r="E648" t="s">
        <v>16</v>
      </c>
      <c r="F648" t="s">
        <v>35</v>
      </c>
      <c r="G648">
        <v>3</v>
      </c>
      <c r="H648" s="1">
        <v>956650</v>
      </c>
      <c r="I648" s="1">
        <v>621822</v>
      </c>
      <c r="J648" t="s">
        <v>22</v>
      </c>
      <c r="K648" s="1">
        <f>Tabla1[[#This Row],[cantidad]]*Tabla1[[#This Row],[precio_unitario]]</f>
        <v>2869950</v>
      </c>
      <c r="L648" s="1">
        <f>Tabla1[[#This Row],[cantidad]]*Tabla1[[#This Row],[costo_unitario]]</f>
        <v>1865466</v>
      </c>
      <c r="M648" s="1">
        <f>Tabla1[[#This Row],[venta_total]]-Tabla1[[#This Row],[costo_total]]</f>
        <v>1004484</v>
      </c>
      <c r="N648" s="3">
        <f>Tabla1[[#This Row],[margen]]/Tabla1[[#This Row],[venta_total]]</f>
        <v>0.35000052265718917</v>
      </c>
    </row>
    <row r="649" spans="1:14" x14ac:dyDescent="0.25">
      <c r="A649" s="2">
        <v>45384</v>
      </c>
      <c r="B649" t="s">
        <v>10</v>
      </c>
      <c r="C649" t="s">
        <v>11</v>
      </c>
      <c r="D649" t="s">
        <v>26</v>
      </c>
      <c r="E649" t="s">
        <v>20</v>
      </c>
      <c r="F649" t="s">
        <v>36</v>
      </c>
      <c r="G649">
        <v>1</v>
      </c>
      <c r="H649" s="1">
        <v>2043216</v>
      </c>
      <c r="I649" s="1">
        <v>1532412</v>
      </c>
      <c r="J649" t="s">
        <v>29</v>
      </c>
      <c r="K649" s="1">
        <f>Tabla1[[#This Row],[cantidad]]*Tabla1[[#This Row],[precio_unitario]]</f>
        <v>2043216</v>
      </c>
      <c r="L649" s="1">
        <f>Tabla1[[#This Row],[cantidad]]*Tabla1[[#This Row],[costo_unitario]]</f>
        <v>1532412</v>
      </c>
      <c r="M649" s="1">
        <f>Tabla1[[#This Row],[venta_total]]-Tabla1[[#This Row],[costo_total]]</f>
        <v>510804</v>
      </c>
      <c r="N649" s="3">
        <f>Tabla1[[#This Row],[margen]]/Tabla1[[#This Row],[venta_total]]</f>
        <v>0.25</v>
      </c>
    </row>
    <row r="650" spans="1:14" x14ac:dyDescent="0.25">
      <c r="A650" s="2">
        <v>45393</v>
      </c>
      <c r="B650" t="s">
        <v>32</v>
      </c>
      <c r="C650" t="s">
        <v>11</v>
      </c>
      <c r="D650" t="s">
        <v>12</v>
      </c>
      <c r="E650" t="s">
        <v>20</v>
      </c>
      <c r="F650" t="s">
        <v>37</v>
      </c>
      <c r="G650">
        <v>1</v>
      </c>
      <c r="H650" s="1">
        <v>2526403</v>
      </c>
      <c r="I650" s="1">
        <v>1894802</v>
      </c>
      <c r="J650" t="s">
        <v>15</v>
      </c>
      <c r="K650" s="1">
        <f>Tabla1[[#This Row],[cantidad]]*Tabla1[[#This Row],[precio_unitario]]</f>
        <v>2526403</v>
      </c>
      <c r="L650" s="1">
        <f>Tabla1[[#This Row],[cantidad]]*Tabla1[[#This Row],[costo_unitario]]</f>
        <v>1894802</v>
      </c>
      <c r="M650" s="1">
        <f>Tabla1[[#This Row],[venta_total]]-Tabla1[[#This Row],[costo_total]]</f>
        <v>631601</v>
      </c>
      <c r="N650" s="3">
        <f>Tabla1[[#This Row],[margen]]/Tabla1[[#This Row],[venta_total]]</f>
        <v>0.25000009895491732</v>
      </c>
    </row>
    <row r="651" spans="1:14" x14ac:dyDescent="0.25">
      <c r="A651" s="2">
        <v>45341</v>
      </c>
      <c r="B651" t="s">
        <v>10</v>
      </c>
      <c r="C651" t="s">
        <v>11</v>
      </c>
      <c r="D651" t="s">
        <v>23</v>
      </c>
      <c r="E651" t="s">
        <v>13</v>
      </c>
      <c r="F651" t="s">
        <v>28</v>
      </c>
      <c r="G651">
        <v>1</v>
      </c>
      <c r="H651" s="1">
        <v>2780512</v>
      </c>
      <c r="I651" s="1">
        <v>2224409</v>
      </c>
      <c r="J651" t="s">
        <v>15</v>
      </c>
      <c r="K651" s="1">
        <f>Tabla1[[#This Row],[cantidad]]*Tabla1[[#This Row],[precio_unitario]]</f>
        <v>2780512</v>
      </c>
      <c r="L651" s="1">
        <f>Tabla1[[#This Row],[cantidad]]*Tabla1[[#This Row],[costo_unitario]]</f>
        <v>2224409</v>
      </c>
      <c r="M651" s="1">
        <f>Tabla1[[#This Row],[venta_total]]-Tabla1[[#This Row],[costo_total]]</f>
        <v>556103</v>
      </c>
      <c r="N651" s="3">
        <f>Tabla1[[#This Row],[margen]]/Tabla1[[#This Row],[venta_total]]</f>
        <v>0.20000021578759594</v>
      </c>
    </row>
    <row r="652" spans="1:14" x14ac:dyDescent="0.25">
      <c r="A652" s="2">
        <v>45328</v>
      </c>
      <c r="B652" t="s">
        <v>18</v>
      </c>
      <c r="C652" t="s">
        <v>11</v>
      </c>
      <c r="D652" t="s">
        <v>12</v>
      </c>
      <c r="E652" t="s">
        <v>20</v>
      </c>
      <c r="F652" t="s">
        <v>37</v>
      </c>
      <c r="G652">
        <v>1</v>
      </c>
      <c r="H652" s="1">
        <v>2738717</v>
      </c>
      <c r="I652" s="1">
        <v>2054037</v>
      </c>
      <c r="J652" t="s">
        <v>31</v>
      </c>
      <c r="K652" s="1">
        <f>Tabla1[[#This Row],[cantidad]]*Tabla1[[#This Row],[precio_unitario]]</f>
        <v>2738717</v>
      </c>
      <c r="L652" s="1">
        <f>Tabla1[[#This Row],[cantidad]]*Tabla1[[#This Row],[costo_unitario]]</f>
        <v>2054037</v>
      </c>
      <c r="M652" s="1">
        <f>Tabla1[[#This Row],[venta_total]]-Tabla1[[#This Row],[costo_total]]</f>
        <v>684680</v>
      </c>
      <c r="N652" s="3">
        <f>Tabla1[[#This Row],[margen]]/Tabla1[[#This Row],[venta_total]]</f>
        <v>0.25000027385085788</v>
      </c>
    </row>
    <row r="653" spans="1:14" x14ac:dyDescent="0.25">
      <c r="A653" s="2">
        <v>45373</v>
      </c>
      <c r="B653" t="s">
        <v>34</v>
      </c>
      <c r="C653" t="s">
        <v>11</v>
      </c>
      <c r="D653" t="s">
        <v>26</v>
      </c>
      <c r="E653" t="s">
        <v>13</v>
      </c>
      <c r="F653" t="s">
        <v>27</v>
      </c>
      <c r="G653">
        <v>1</v>
      </c>
      <c r="H653" s="1">
        <v>5640704</v>
      </c>
      <c r="I653" s="1">
        <v>4512563</v>
      </c>
      <c r="J653" t="s">
        <v>15</v>
      </c>
      <c r="K653" s="1">
        <f>Tabla1[[#This Row],[cantidad]]*Tabla1[[#This Row],[precio_unitario]]</f>
        <v>5640704</v>
      </c>
      <c r="L653" s="1">
        <f>Tabla1[[#This Row],[cantidad]]*Tabla1[[#This Row],[costo_unitario]]</f>
        <v>4512563</v>
      </c>
      <c r="M653" s="1">
        <f>Tabla1[[#This Row],[venta_total]]-Tabla1[[#This Row],[costo_total]]</f>
        <v>1128141</v>
      </c>
      <c r="N653" s="3">
        <f>Tabla1[[#This Row],[margen]]/Tabla1[[#This Row],[venta_total]]</f>
        <v>0.20000003545656711</v>
      </c>
    </row>
    <row r="654" spans="1:14" x14ac:dyDescent="0.25">
      <c r="A654" s="2">
        <v>45314</v>
      </c>
      <c r="B654" t="s">
        <v>34</v>
      </c>
      <c r="C654" t="s">
        <v>11</v>
      </c>
      <c r="D654" t="s">
        <v>23</v>
      </c>
      <c r="E654" t="s">
        <v>13</v>
      </c>
      <c r="F654" t="s">
        <v>28</v>
      </c>
      <c r="G654">
        <v>1</v>
      </c>
      <c r="H654" s="1">
        <v>2967265</v>
      </c>
      <c r="I654" s="1">
        <v>2373812</v>
      </c>
      <c r="J654" t="s">
        <v>25</v>
      </c>
      <c r="K654" s="1">
        <f>Tabla1[[#This Row],[cantidad]]*Tabla1[[#This Row],[precio_unitario]]</f>
        <v>2967265</v>
      </c>
      <c r="L654" s="1">
        <f>Tabla1[[#This Row],[cantidad]]*Tabla1[[#This Row],[costo_unitario]]</f>
        <v>2373812</v>
      </c>
      <c r="M654" s="1">
        <f>Tabla1[[#This Row],[venta_total]]-Tabla1[[#This Row],[costo_total]]</f>
        <v>593453</v>
      </c>
      <c r="N654" s="3">
        <f>Tabla1[[#This Row],[margen]]/Tabla1[[#This Row],[venta_total]]</f>
        <v>0.2</v>
      </c>
    </row>
    <row r="655" spans="1:14" x14ac:dyDescent="0.25">
      <c r="A655" s="2">
        <v>45303</v>
      </c>
      <c r="B655" t="s">
        <v>10</v>
      </c>
      <c r="C655" t="s">
        <v>11</v>
      </c>
      <c r="D655" t="s">
        <v>38</v>
      </c>
      <c r="E655" t="s">
        <v>16</v>
      </c>
      <c r="F655" t="s">
        <v>39</v>
      </c>
      <c r="G655">
        <v>1</v>
      </c>
      <c r="H655" s="1">
        <v>4953647</v>
      </c>
      <c r="I655" s="1">
        <v>3715235</v>
      </c>
      <c r="J655" t="s">
        <v>15</v>
      </c>
      <c r="K655" s="1">
        <f>Tabla1[[#This Row],[cantidad]]*Tabla1[[#This Row],[precio_unitario]]</f>
        <v>4953647</v>
      </c>
      <c r="L655" s="1">
        <f>Tabla1[[#This Row],[cantidad]]*Tabla1[[#This Row],[costo_unitario]]</f>
        <v>3715235</v>
      </c>
      <c r="M655" s="1">
        <f>Tabla1[[#This Row],[venta_total]]-Tabla1[[#This Row],[costo_total]]</f>
        <v>1238412</v>
      </c>
      <c r="N655" s="3">
        <f>Tabla1[[#This Row],[margen]]/Tabla1[[#This Row],[venta_total]]</f>
        <v>0.25000005046786739</v>
      </c>
    </row>
    <row r="656" spans="1:14" x14ac:dyDescent="0.25">
      <c r="A656" s="2">
        <v>45355</v>
      </c>
      <c r="B656" t="s">
        <v>34</v>
      </c>
      <c r="C656" t="s">
        <v>11</v>
      </c>
      <c r="D656" t="s">
        <v>19</v>
      </c>
      <c r="E656" t="s">
        <v>13</v>
      </c>
      <c r="F656" t="s">
        <v>33</v>
      </c>
      <c r="G656">
        <v>1</v>
      </c>
      <c r="H656" s="1">
        <v>1953585</v>
      </c>
      <c r="I656" s="1">
        <v>1367509</v>
      </c>
      <c r="J656" t="s">
        <v>25</v>
      </c>
      <c r="K656" s="1">
        <f>Tabla1[[#This Row],[cantidad]]*Tabla1[[#This Row],[precio_unitario]]</f>
        <v>1953585</v>
      </c>
      <c r="L656" s="1">
        <f>Tabla1[[#This Row],[cantidad]]*Tabla1[[#This Row],[costo_unitario]]</f>
        <v>1367509</v>
      </c>
      <c r="M656" s="1">
        <f>Tabla1[[#This Row],[venta_total]]-Tabla1[[#This Row],[costo_total]]</f>
        <v>586076</v>
      </c>
      <c r="N656" s="3">
        <f>Tabla1[[#This Row],[margen]]/Tabla1[[#This Row],[venta_total]]</f>
        <v>0.30000025593972107</v>
      </c>
    </row>
    <row r="657" spans="1:14" x14ac:dyDescent="0.25">
      <c r="A657" s="2">
        <v>45446</v>
      </c>
      <c r="B657" t="s">
        <v>10</v>
      </c>
      <c r="C657" t="s">
        <v>11</v>
      </c>
      <c r="D657" t="s">
        <v>12</v>
      </c>
      <c r="E657" t="s">
        <v>13</v>
      </c>
      <c r="F657" t="s">
        <v>14</v>
      </c>
      <c r="G657">
        <v>1</v>
      </c>
      <c r="H657" s="1">
        <v>4862537</v>
      </c>
      <c r="I657" s="1">
        <v>3890029</v>
      </c>
      <c r="J657" t="s">
        <v>22</v>
      </c>
      <c r="K657" s="1">
        <f>Tabla1[[#This Row],[cantidad]]*Tabla1[[#This Row],[precio_unitario]]</f>
        <v>4862537</v>
      </c>
      <c r="L657" s="1">
        <f>Tabla1[[#This Row],[cantidad]]*Tabla1[[#This Row],[costo_unitario]]</f>
        <v>3890029</v>
      </c>
      <c r="M657" s="1">
        <f>Tabla1[[#This Row],[venta_total]]-Tabla1[[#This Row],[costo_total]]</f>
        <v>972508</v>
      </c>
      <c r="N657" s="3">
        <f>Tabla1[[#This Row],[margen]]/Tabla1[[#This Row],[venta_total]]</f>
        <v>0.20000012339237727</v>
      </c>
    </row>
    <row r="658" spans="1:14" x14ac:dyDescent="0.25">
      <c r="A658" s="2">
        <v>45469</v>
      </c>
      <c r="B658" t="s">
        <v>32</v>
      </c>
      <c r="C658" t="s">
        <v>11</v>
      </c>
      <c r="D658" t="s">
        <v>38</v>
      </c>
      <c r="E658" t="s">
        <v>20</v>
      </c>
      <c r="F658" t="s">
        <v>42</v>
      </c>
      <c r="G658">
        <v>1</v>
      </c>
      <c r="H658" s="1">
        <v>3094417</v>
      </c>
      <c r="I658" s="1">
        <v>2227980</v>
      </c>
      <c r="J658" t="s">
        <v>15</v>
      </c>
      <c r="K658" s="1">
        <f>Tabla1[[#This Row],[cantidad]]*Tabla1[[#This Row],[precio_unitario]]</f>
        <v>3094417</v>
      </c>
      <c r="L658" s="1">
        <f>Tabla1[[#This Row],[cantidad]]*Tabla1[[#This Row],[costo_unitario]]</f>
        <v>2227980</v>
      </c>
      <c r="M658" s="1">
        <f>Tabla1[[#This Row],[venta_total]]-Tabla1[[#This Row],[costo_total]]</f>
        <v>866437</v>
      </c>
      <c r="N658" s="3">
        <f>Tabla1[[#This Row],[margen]]/Tabla1[[#This Row],[venta_total]]</f>
        <v>0.28000007755903616</v>
      </c>
    </row>
    <row r="659" spans="1:14" x14ac:dyDescent="0.25">
      <c r="A659" s="2">
        <v>45471</v>
      </c>
      <c r="B659" t="s">
        <v>32</v>
      </c>
      <c r="C659" t="s">
        <v>11</v>
      </c>
      <c r="D659" t="s">
        <v>12</v>
      </c>
      <c r="E659" t="s">
        <v>20</v>
      </c>
      <c r="F659" t="s">
        <v>37</v>
      </c>
      <c r="G659">
        <v>1</v>
      </c>
      <c r="H659" s="1">
        <v>1705014</v>
      </c>
      <c r="I659" s="1">
        <v>1278760</v>
      </c>
      <c r="J659" t="s">
        <v>31</v>
      </c>
      <c r="K659" s="1">
        <f>Tabla1[[#This Row],[cantidad]]*Tabla1[[#This Row],[precio_unitario]]</f>
        <v>1705014</v>
      </c>
      <c r="L659" s="1">
        <f>Tabla1[[#This Row],[cantidad]]*Tabla1[[#This Row],[costo_unitario]]</f>
        <v>1278760</v>
      </c>
      <c r="M659" s="1">
        <f>Tabla1[[#This Row],[venta_total]]-Tabla1[[#This Row],[costo_total]]</f>
        <v>426254</v>
      </c>
      <c r="N659" s="3">
        <f>Tabla1[[#This Row],[margen]]/Tabla1[[#This Row],[venta_total]]</f>
        <v>0.25000029325272405</v>
      </c>
    </row>
    <row r="660" spans="1:14" x14ac:dyDescent="0.25">
      <c r="A660" s="2">
        <v>45419</v>
      </c>
      <c r="B660" t="s">
        <v>32</v>
      </c>
      <c r="C660" t="s">
        <v>11</v>
      </c>
      <c r="D660" t="s">
        <v>26</v>
      </c>
      <c r="E660" t="s">
        <v>13</v>
      </c>
      <c r="F660" t="s">
        <v>27</v>
      </c>
      <c r="G660">
        <v>1</v>
      </c>
      <c r="H660" s="1">
        <v>7168956</v>
      </c>
      <c r="I660" s="1">
        <v>5735164</v>
      </c>
      <c r="J660" t="s">
        <v>15</v>
      </c>
      <c r="K660" s="1">
        <f>Tabla1[[#This Row],[cantidad]]*Tabla1[[#This Row],[precio_unitario]]</f>
        <v>7168956</v>
      </c>
      <c r="L660" s="1">
        <f>Tabla1[[#This Row],[cantidad]]*Tabla1[[#This Row],[costo_unitario]]</f>
        <v>5735164</v>
      </c>
      <c r="M660" s="1">
        <f>Tabla1[[#This Row],[venta_total]]-Tabla1[[#This Row],[costo_total]]</f>
        <v>1433792</v>
      </c>
      <c r="N660" s="3">
        <f>Tabla1[[#This Row],[margen]]/Tabla1[[#This Row],[venta_total]]</f>
        <v>0.20000011159225975</v>
      </c>
    </row>
    <row r="661" spans="1:14" x14ac:dyDescent="0.25">
      <c r="A661" s="2">
        <v>45372</v>
      </c>
      <c r="B661" t="s">
        <v>18</v>
      </c>
      <c r="C661" t="s">
        <v>11</v>
      </c>
      <c r="D661" t="s">
        <v>23</v>
      </c>
      <c r="E661" t="s">
        <v>20</v>
      </c>
      <c r="F661" t="s">
        <v>30</v>
      </c>
      <c r="G661">
        <v>1</v>
      </c>
      <c r="H661" s="1">
        <v>1061462</v>
      </c>
      <c r="I661" s="1">
        <v>743023</v>
      </c>
      <c r="J661" t="s">
        <v>25</v>
      </c>
      <c r="K661" s="1">
        <f>Tabla1[[#This Row],[cantidad]]*Tabla1[[#This Row],[precio_unitario]]</f>
        <v>1061462</v>
      </c>
      <c r="L661" s="1">
        <f>Tabla1[[#This Row],[cantidad]]*Tabla1[[#This Row],[costo_unitario]]</f>
        <v>743023</v>
      </c>
      <c r="M661" s="1">
        <f>Tabla1[[#This Row],[venta_total]]-Tabla1[[#This Row],[costo_total]]</f>
        <v>318439</v>
      </c>
      <c r="N661" s="3">
        <f>Tabla1[[#This Row],[margen]]/Tabla1[[#This Row],[venta_total]]</f>
        <v>0.30000037683873754</v>
      </c>
    </row>
    <row r="662" spans="1:14" x14ac:dyDescent="0.25">
      <c r="A662" s="2">
        <v>45465</v>
      </c>
      <c r="B662" t="s">
        <v>18</v>
      </c>
      <c r="C662" t="s">
        <v>11</v>
      </c>
      <c r="D662" t="s">
        <v>12</v>
      </c>
      <c r="E662" t="s">
        <v>13</v>
      </c>
      <c r="F662" t="s">
        <v>14</v>
      </c>
      <c r="G662">
        <v>1</v>
      </c>
      <c r="H662" s="1">
        <v>4803718</v>
      </c>
      <c r="I662" s="1">
        <v>3842974</v>
      </c>
      <c r="J662" t="s">
        <v>22</v>
      </c>
      <c r="K662" s="1">
        <f>Tabla1[[#This Row],[cantidad]]*Tabla1[[#This Row],[precio_unitario]]</f>
        <v>4803718</v>
      </c>
      <c r="L662" s="1">
        <f>Tabla1[[#This Row],[cantidad]]*Tabla1[[#This Row],[costo_unitario]]</f>
        <v>3842974</v>
      </c>
      <c r="M662" s="1">
        <f>Tabla1[[#This Row],[venta_total]]-Tabla1[[#This Row],[costo_total]]</f>
        <v>960744</v>
      </c>
      <c r="N662" s="3">
        <f>Tabla1[[#This Row],[margen]]/Tabla1[[#This Row],[venta_total]]</f>
        <v>0.20000008326883467</v>
      </c>
    </row>
    <row r="663" spans="1:14" x14ac:dyDescent="0.25">
      <c r="A663" s="2">
        <v>45411</v>
      </c>
      <c r="B663" t="s">
        <v>32</v>
      </c>
      <c r="C663" t="s">
        <v>11</v>
      </c>
      <c r="D663" t="s">
        <v>38</v>
      </c>
      <c r="E663" t="s">
        <v>13</v>
      </c>
      <c r="F663" t="s">
        <v>41</v>
      </c>
      <c r="G663">
        <v>1</v>
      </c>
      <c r="H663" s="1">
        <v>6285946</v>
      </c>
      <c r="I663" s="1">
        <v>5028756</v>
      </c>
      <c r="J663" t="s">
        <v>29</v>
      </c>
      <c r="K663" s="1">
        <f>Tabla1[[#This Row],[cantidad]]*Tabla1[[#This Row],[precio_unitario]]</f>
        <v>6285946</v>
      </c>
      <c r="L663" s="1">
        <f>Tabla1[[#This Row],[cantidad]]*Tabla1[[#This Row],[costo_unitario]]</f>
        <v>5028756</v>
      </c>
      <c r="M663" s="1">
        <f>Tabla1[[#This Row],[venta_total]]-Tabla1[[#This Row],[costo_total]]</f>
        <v>1257190</v>
      </c>
      <c r="N663" s="3">
        <f>Tabla1[[#This Row],[margen]]/Tabla1[[#This Row],[venta_total]]</f>
        <v>0.2000001272680357</v>
      </c>
    </row>
    <row r="664" spans="1:14" x14ac:dyDescent="0.25">
      <c r="A664" s="2">
        <v>45459</v>
      </c>
      <c r="B664" t="s">
        <v>10</v>
      </c>
      <c r="C664" t="s">
        <v>11</v>
      </c>
      <c r="D664" t="s">
        <v>38</v>
      </c>
      <c r="E664" t="s">
        <v>16</v>
      </c>
      <c r="F664" t="s">
        <v>39</v>
      </c>
      <c r="G664">
        <v>1</v>
      </c>
      <c r="H664" s="1">
        <v>5404534</v>
      </c>
      <c r="I664" s="1">
        <v>4053400</v>
      </c>
      <c r="J664" t="s">
        <v>29</v>
      </c>
      <c r="K664" s="1">
        <f>Tabla1[[#This Row],[cantidad]]*Tabla1[[#This Row],[precio_unitario]]</f>
        <v>5404534</v>
      </c>
      <c r="L664" s="1">
        <f>Tabla1[[#This Row],[cantidad]]*Tabla1[[#This Row],[costo_unitario]]</f>
        <v>4053400</v>
      </c>
      <c r="M664" s="1">
        <f>Tabla1[[#This Row],[venta_total]]-Tabla1[[#This Row],[costo_total]]</f>
        <v>1351134</v>
      </c>
      <c r="N664" s="3">
        <f>Tabla1[[#This Row],[margen]]/Tabla1[[#This Row],[venta_total]]</f>
        <v>0.25000009251491434</v>
      </c>
    </row>
    <row r="665" spans="1:14" x14ac:dyDescent="0.25">
      <c r="A665" s="2">
        <v>45299</v>
      </c>
      <c r="B665" t="s">
        <v>18</v>
      </c>
      <c r="C665" t="s">
        <v>11</v>
      </c>
      <c r="D665" t="s">
        <v>38</v>
      </c>
      <c r="E665" t="s">
        <v>16</v>
      </c>
      <c r="F665" t="s">
        <v>39</v>
      </c>
      <c r="G665">
        <v>1</v>
      </c>
      <c r="H665" s="1">
        <v>4832193</v>
      </c>
      <c r="I665" s="1">
        <v>3624144</v>
      </c>
      <c r="J665" t="s">
        <v>22</v>
      </c>
      <c r="K665" s="1">
        <f>Tabla1[[#This Row],[cantidad]]*Tabla1[[#This Row],[precio_unitario]]</f>
        <v>4832193</v>
      </c>
      <c r="L665" s="1">
        <f>Tabla1[[#This Row],[cantidad]]*Tabla1[[#This Row],[costo_unitario]]</f>
        <v>3624144</v>
      </c>
      <c r="M665" s="1">
        <f>Tabla1[[#This Row],[venta_total]]-Tabla1[[#This Row],[costo_total]]</f>
        <v>1208049</v>
      </c>
      <c r="N665" s="3">
        <f>Tabla1[[#This Row],[margen]]/Tabla1[[#This Row],[venta_total]]</f>
        <v>0.2500001552090324</v>
      </c>
    </row>
    <row r="666" spans="1:14" x14ac:dyDescent="0.25">
      <c r="A666" s="2">
        <v>45350</v>
      </c>
      <c r="B666" t="s">
        <v>10</v>
      </c>
      <c r="C666" t="s">
        <v>11</v>
      </c>
      <c r="D666" t="s">
        <v>26</v>
      </c>
      <c r="E666" t="s">
        <v>20</v>
      </c>
      <c r="F666" t="s">
        <v>36</v>
      </c>
      <c r="G666">
        <v>1</v>
      </c>
      <c r="H666" s="1">
        <v>2195550</v>
      </c>
      <c r="I666" s="1">
        <v>1646662</v>
      </c>
      <c r="J666" t="s">
        <v>31</v>
      </c>
      <c r="K666" s="1">
        <f>Tabla1[[#This Row],[cantidad]]*Tabla1[[#This Row],[precio_unitario]]</f>
        <v>2195550</v>
      </c>
      <c r="L666" s="1">
        <f>Tabla1[[#This Row],[cantidad]]*Tabla1[[#This Row],[costo_unitario]]</f>
        <v>1646662</v>
      </c>
      <c r="M666" s="1">
        <f>Tabla1[[#This Row],[venta_total]]-Tabla1[[#This Row],[costo_total]]</f>
        <v>548888</v>
      </c>
      <c r="N666" s="3">
        <f>Tabla1[[#This Row],[margen]]/Tabla1[[#This Row],[venta_total]]</f>
        <v>0.25000022773336977</v>
      </c>
    </row>
    <row r="667" spans="1:14" x14ac:dyDescent="0.25">
      <c r="A667" s="2">
        <v>45449</v>
      </c>
      <c r="B667" t="s">
        <v>32</v>
      </c>
      <c r="C667" t="s">
        <v>11</v>
      </c>
      <c r="D667" t="s">
        <v>38</v>
      </c>
      <c r="E667" t="s">
        <v>13</v>
      </c>
      <c r="F667" t="s">
        <v>41</v>
      </c>
      <c r="G667">
        <v>1</v>
      </c>
      <c r="H667" s="1">
        <v>6442822</v>
      </c>
      <c r="I667" s="1">
        <v>5154257</v>
      </c>
      <c r="J667" t="s">
        <v>15</v>
      </c>
      <c r="K667" s="1">
        <f>Tabla1[[#This Row],[cantidad]]*Tabla1[[#This Row],[precio_unitario]]</f>
        <v>6442822</v>
      </c>
      <c r="L667" s="1">
        <f>Tabla1[[#This Row],[cantidad]]*Tabla1[[#This Row],[costo_unitario]]</f>
        <v>5154257</v>
      </c>
      <c r="M667" s="1">
        <f>Tabla1[[#This Row],[venta_total]]-Tabla1[[#This Row],[costo_total]]</f>
        <v>1288565</v>
      </c>
      <c r="N667" s="3">
        <f>Tabla1[[#This Row],[margen]]/Tabla1[[#This Row],[venta_total]]</f>
        <v>0.20000009312689376</v>
      </c>
    </row>
    <row r="668" spans="1:14" x14ac:dyDescent="0.25">
      <c r="A668" s="2">
        <v>45341</v>
      </c>
      <c r="B668" t="s">
        <v>32</v>
      </c>
      <c r="C668" t="s">
        <v>11</v>
      </c>
      <c r="D668" t="s">
        <v>38</v>
      </c>
      <c r="E668" t="s">
        <v>20</v>
      </c>
      <c r="F668" t="s">
        <v>42</v>
      </c>
      <c r="G668">
        <v>1</v>
      </c>
      <c r="H668" s="1">
        <v>2983897</v>
      </c>
      <c r="I668" s="1">
        <v>2148405</v>
      </c>
      <c r="J668" t="s">
        <v>15</v>
      </c>
      <c r="K668" s="1">
        <f>Tabla1[[#This Row],[cantidad]]*Tabla1[[#This Row],[precio_unitario]]</f>
        <v>2983897</v>
      </c>
      <c r="L668" s="1">
        <f>Tabla1[[#This Row],[cantidad]]*Tabla1[[#This Row],[costo_unitario]]</f>
        <v>2148405</v>
      </c>
      <c r="M668" s="1">
        <f>Tabla1[[#This Row],[venta_total]]-Tabla1[[#This Row],[costo_total]]</f>
        <v>835492</v>
      </c>
      <c r="N668" s="3">
        <f>Tabla1[[#This Row],[margen]]/Tabla1[[#This Row],[venta_total]]</f>
        <v>0.28000028151105755</v>
      </c>
    </row>
    <row r="669" spans="1:14" x14ac:dyDescent="0.25">
      <c r="A669" s="2">
        <v>45374</v>
      </c>
      <c r="B669" t="s">
        <v>32</v>
      </c>
      <c r="C669" t="s">
        <v>11</v>
      </c>
      <c r="D669" t="s">
        <v>19</v>
      </c>
      <c r="E669" t="s">
        <v>16</v>
      </c>
      <c r="F669" t="s">
        <v>35</v>
      </c>
      <c r="G669">
        <v>2</v>
      </c>
      <c r="H669" s="1">
        <v>1012013</v>
      </c>
      <c r="I669" s="1">
        <v>657808</v>
      </c>
      <c r="J669" t="s">
        <v>15</v>
      </c>
      <c r="K669" s="1">
        <f>Tabla1[[#This Row],[cantidad]]*Tabla1[[#This Row],[precio_unitario]]</f>
        <v>2024026</v>
      </c>
      <c r="L669" s="1">
        <f>Tabla1[[#This Row],[cantidad]]*Tabla1[[#This Row],[costo_unitario]]</f>
        <v>1315616</v>
      </c>
      <c r="M669" s="1">
        <f>Tabla1[[#This Row],[venta_total]]-Tabla1[[#This Row],[costo_total]]</f>
        <v>708410</v>
      </c>
      <c r="N669" s="3">
        <f>Tabla1[[#This Row],[margen]]/Tabla1[[#This Row],[venta_total]]</f>
        <v>0.35000044465831959</v>
      </c>
    </row>
    <row r="670" spans="1:14" x14ac:dyDescent="0.25">
      <c r="A670" s="2">
        <v>45363</v>
      </c>
      <c r="B670" t="s">
        <v>32</v>
      </c>
      <c r="C670" t="s">
        <v>11</v>
      </c>
      <c r="D670" t="s">
        <v>26</v>
      </c>
      <c r="E670" t="s">
        <v>16</v>
      </c>
      <c r="F670" t="s">
        <v>40</v>
      </c>
      <c r="G670">
        <v>1</v>
      </c>
      <c r="H670" s="1">
        <v>3766086</v>
      </c>
      <c r="I670" s="1">
        <v>2937547</v>
      </c>
      <c r="J670" t="s">
        <v>31</v>
      </c>
      <c r="K670" s="1">
        <f>Tabla1[[#This Row],[cantidad]]*Tabla1[[#This Row],[precio_unitario]]</f>
        <v>3766086</v>
      </c>
      <c r="L670" s="1">
        <f>Tabla1[[#This Row],[cantidad]]*Tabla1[[#This Row],[costo_unitario]]</f>
        <v>2937547</v>
      </c>
      <c r="M670" s="1">
        <f>Tabla1[[#This Row],[venta_total]]-Tabla1[[#This Row],[costo_total]]</f>
        <v>828539</v>
      </c>
      <c r="N670" s="3">
        <f>Tabla1[[#This Row],[margen]]/Tabla1[[#This Row],[venta_total]]</f>
        <v>0.22000002124221274</v>
      </c>
    </row>
    <row r="671" spans="1:14" x14ac:dyDescent="0.25">
      <c r="A671" s="2">
        <v>45468</v>
      </c>
      <c r="B671" t="s">
        <v>32</v>
      </c>
      <c r="C671" t="s">
        <v>11</v>
      </c>
      <c r="D671" t="s">
        <v>19</v>
      </c>
      <c r="E671" t="s">
        <v>16</v>
      </c>
      <c r="F671" t="s">
        <v>35</v>
      </c>
      <c r="G671">
        <v>3</v>
      </c>
      <c r="H671" s="1">
        <v>690125</v>
      </c>
      <c r="I671" s="1">
        <v>448581</v>
      </c>
      <c r="J671" t="s">
        <v>25</v>
      </c>
      <c r="K671" s="1">
        <f>Tabla1[[#This Row],[cantidad]]*Tabla1[[#This Row],[precio_unitario]]</f>
        <v>2070375</v>
      </c>
      <c r="L671" s="1">
        <f>Tabla1[[#This Row],[cantidad]]*Tabla1[[#This Row],[costo_unitario]]</f>
        <v>1345743</v>
      </c>
      <c r="M671" s="1">
        <f>Tabla1[[#This Row],[venta_total]]-Tabla1[[#This Row],[costo_total]]</f>
        <v>724632</v>
      </c>
      <c r="N671" s="3">
        <f>Tabla1[[#This Row],[margen]]/Tabla1[[#This Row],[venta_total]]</f>
        <v>0.35000036225321501</v>
      </c>
    </row>
    <row r="672" spans="1:14" x14ac:dyDescent="0.25">
      <c r="A672" s="2">
        <v>45466</v>
      </c>
      <c r="B672" t="s">
        <v>10</v>
      </c>
      <c r="C672" t="s">
        <v>11</v>
      </c>
      <c r="D672" t="s">
        <v>26</v>
      </c>
      <c r="E672" t="s">
        <v>16</v>
      </c>
      <c r="F672" t="s">
        <v>40</v>
      </c>
      <c r="G672">
        <v>1</v>
      </c>
      <c r="H672" s="1">
        <v>4098999</v>
      </c>
      <c r="I672" s="1">
        <v>3197219</v>
      </c>
      <c r="J672" t="s">
        <v>25</v>
      </c>
      <c r="K672" s="1">
        <f>Tabla1[[#This Row],[cantidad]]*Tabla1[[#This Row],[precio_unitario]]</f>
        <v>4098999</v>
      </c>
      <c r="L672" s="1">
        <f>Tabla1[[#This Row],[cantidad]]*Tabla1[[#This Row],[costo_unitario]]</f>
        <v>3197219</v>
      </c>
      <c r="M672" s="1">
        <f>Tabla1[[#This Row],[venta_total]]-Tabla1[[#This Row],[costo_total]]</f>
        <v>901780</v>
      </c>
      <c r="N672" s="3">
        <f>Tabla1[[#This Row],[margen]]/Tabla1[[#This Row],[venta_total]]</f>
        <v>0.22000005367164033</v>
      </c>
    </row>
    <row r="673" spans="1:14" x14ac:dyDescent="0.25">
      <c r="A673" s="2">
        <v>45439</v>
      </c>
      <c r="B673" t="s">
        <v>10</v>
      </c>
      <c r="C673" t="s">
        <v>11</v>
      </c>
      <c r="D673" t="s">
        <v>19</v>
      </c>
      <c r="E673" t="s">
        <v>16</v>
      </c>
      <c r="F673" t="s">
        <v>35</v>
      </c>
      <c r="G673">
        <v>2</v>
      </c>
      <c r="H673" s="1">
        <v>767670</v>
      </c>
      <c r="I673" s="1">
        <v>498985</v>
      </c>
      <c r="J673" t="s">
        <v>29</v>
      </c>
      <c r="K673" s="1">
        <f>Tabla1[[#This Row],[cantidad]]*Tabla1[[#This Row],[precio_unitario]]</f>
        <v>1535340</v>
      </c>
      <c r="L673" s="1">
        <f>Tabla1[[#This Row],[cantidad]]*Tabla1[[#This Row],[costo_unitario]]</f>
        <v>997970</v>
      </c>
      <c r="M673" s="1">
        <f>Tabla1[[#This Row],[venta_total]]-Tabla1[[#This Row],[costo_total]]</f>
        <v>537370</v>
      </c>
      <c r="N673" s="3">
        <f>Tabla1[[#This Row],[margen]]/Tabla1[[#This Row],[venta_total]]</f>
        <v>0.35000065132153141</v>
      </c>
    </row>
    <row r="674" spans="1:14" x14ac:dyDescent="0.25">
      <c r="A674" s="2">
        <v>45446</v>
      </c>
      <c r="B674" t="s">
        <v>10</v>
      </c>
      <c r="C674" t="s">
        <v>11</v>
      </c>
      <c r="D674" t="s">
        <v>26</v>
      </c>
      <c r="E674" t="s">
        <v>16</v>
      </c>
      <c r="F674" t="s">
        <v>40</v>
      </c>
      <c r="G674">
        <v>1</v>
      </c>
      <c r="H674" s="1">
        <v>3970911</v>
      </c>
      <c r="I674" s="1">
        <v>3097310</v>
      </c>
      <c r="J674" t="s">
        <v>22</v>
      </c>
      <c r="K674" s="1">
        <f>Tabla1[[#This Row],[cantidad]]*Tabla1[[#This Row],[precio_unitario]]</f>
        <v>3970911</v>
      </c>
      <c r="L674" s="1">
        <f>Tabla1[[#This Row],[cantidad]]*Tabla1[[#This Row],[costo_unitario]]</f>
        <v>3097310</v>
      </c>
      <c r="M674" s="1">
        <f>Tabla1[[#This Row],[venta_total]]-Tabla1[[#This Row],[costo_total]]</f>
        <v>873601</v>
      </c>
      <c r="N674" s="3">
        <f>Tabla1[[#This Row],[margen]]/Tabla1[[#This Row],[venta_total]]</f>
        <v>0.22000014606220084</v>
      </c>
    </row>
    <row r="675" spans="1:14" x14ac:dyDescent="0.25">
      <c r="A675" s="2">
        <v>45332</v>
      </c>
      <c r="B675" t="s">
        <v>18</v>
      </c>
      <c r="C675" t="s">
        <v>11</v>
      </c>
      <c r="D675" t="s">
        <v>26</v>
      </c>
      <c r="E675" t="s">
        <v>20</v>
      </c>
      <c r="F675" t="s">
        <v>36</v>
      </c>
      <c r="G675">
        <v>1</v>
      </c>
      <c r="H675" s="1">
        <v>2493745</v>
      </c>
      <c r="I675" s="1">
        <v>1870308</v>
      </c>
      <c r="J675" t="s">
        <v>15</v>
      </c>
      <c r="K675" s="1">
        <f>Tabla1[[#This Row],[cantidad]]*Tabla1[[#This Row],[precio_unitario]]</f>
        <v>2493745</v>
      </c>
      <c r="L675" s="1">
        <f>Tabla1[[#This Row],[cantidad]]*Tabla1[[#This Row],[costo_unitario]]</f>
        <v>1870308</v>
      </c>
      <c r="M675" s="1">
        <f>Tabla1[[#This Row],[venta_total]]-Tabla1[[#This Row],[costo_total]]</f>
        <v>623437</v>
      </c>
      <c r="N675" s="3">
        <f>Tabla1[[#This Row],[margen]]/Tabla1[[#This Row],[venta_total]]</f>
        <v>0.2500003007524827</v>
      </c>
    </row>
    <row r="676" spans="1:14" x14ac:dyDescent="0.25">
      <c r="A676" s="2">
        <v>45343</v>
      </c>
      <c r="B676" t="s">
        <v>34</v>
      </c>
      <c r="C676" t="s">
        <v>11</v>
      </c>
      <c r="D676" t="s">
        <v>26</v>
      </c>
      <c r="E676" t="s">
        <v>13</v>
      </c>
      <c r="F676" t="s">
        <v>27</v>
      </c>
      <c r="G676">
        <v>1</v>
      </c>
      <c r="H676" s="1">
        <v>5075738</v>
      </c>
      <c r="I676" s="1">
        <v>4060590</v>
      </c>
      <c r="J676" t="s">
        <v>22</v>
      </c>
      <c r="K676" s="1">
        <f>Tabla1[[#This Row],[cantidad]]*Tabla1[[#This Row],[precio_unitario]]</f>
        <v>5075738</v>
      </c>
      <c r="L676" s="1">
        <f>Tabla1[[#This Row],[cantidad]]*Tabla1[[#This Row],[costo_unitario]]</f>
        <v>4060590</v>
      </c>
      <c r="M676" s="1">
        <f>Tabla1[[#This Row],[venta_total]]-Tabla1[[#This Row],[costo_total]]</f>
        <v>1015148</v>
      </c>
      <c r="N676" s="3">
        <f>Tabla1[[#This Row],[margen]]/Tabla1[[#This Row],[venta_total]]</f>
        <v>0.20000007880627407</v>
      </c>
    </row>
    <row r="677" spans="1:14" x14ac:dyDescent="0.25">
      <c r="A677" s="2">
        <v>45353</v>
      </c>
      <c r="B677" t="s">
        <v>18</v>
      </c>
      <c r="C677" t="s">
        <v>11</v>
      </c>
      <c r="D677" t="s">
        <v>26</v>
      </c>
      <c r="E677" t="s">
        <v>16</v>
      </c>
      <c r="F677" t="s">
        <v>40</v>
      </c>
      <c r="G677">
        <v>1</v>
      </c>
      <c r="H677" s="1">
        <v>3321529</v>
      </c>
      <c r="I677" s="1">
        <v>2590792</v>
      </c>
      <c r="J677" t="s">
        <v>29</v>
      </c>
      <c r="K677" s="1">
        <f>Tabla1[[#This Row],[cantidad]]*Tabla1[[#This Row],[precio_unitario]]</f>
        <v>3321529</v>
      </c>
      <c r="L677" s="1">
        <f>Tabla1[[#This Row],[cantidad]]*Tabla1[[#This Row],[costo_unitario]]</f>
        <v>2590792</v>
      </c>
      <c r="M677" s="1">
        <f>Tabla1[[#This Row],[venta_total]]-Tabla1[[#This Row],[costo_total]]</f>
        <v>730737</v>
      </c>
      <c r="N677" s="3">
        <f>Tabla1[[#This Row],[margen]]/Tabla1[[#This Row],[venta_total]]</f>
        <v>0.22000018666102267</v>
      </c>
    </row>
    <row r="678" spans="1:14" x14ac:dyDescent="0.25">
      <c r="A678" s="2">
        <v>45447</v>
      </c>
      <c r="B678" t="s">
        <v>32</v>
      </c>
      <c r="C678" t="s">
        <v>11</v>
      </c>
      <c r="D678" t="s">
        <v>23</v>
      </c>
      <c r="E678" t="s">
        <v>20</v>
      </c>
      <c r="F678" t="s">
        <v>30</v>
      </c>
      <c r="G678">
        <v>1</v>
      </c>
      <c r="H678" s="1">
        <v>1147573</v>
      </c>
      <c r="I678" s="1">
        <v>803301</v>
      </c>
      <c r="J678" t="s">
        <v>25</v>
      </c>
      <c r="K678" s="1">
        <f>Tabla1[[#This Row],[cantidad]]*Tabla1[[#This Row],[precio_unitario]]</f>
        <v>1147573</v>
      </c>
      <c r="L678" s="1">
        <f>Tabla1[[#This Row],[cantidad]]*Tabla1[[#This Row],[costo_unitario]]</f>
        <v>803301</v>
      </c>
      <c r="M678" s="1">
        <f>Tabla1[[#This Row],[venta_total]]-Tabla1[[#This Row],[costo_total]]</f>
        <v>344272</v>
      </c>
      <c r="N678" s="3">
        <f>Tabla1[[#This Row],[margen]]/Tabla1[[#This Row],[venta_total]]</f>
        <v>0.30000008714042592</v>
      </c>
    </row>
    <row r="679" spans="1:14" x14ac:dyDescent="0.25">
      <c r="A679" s="2">
        <v>45470</v>
      </c>
      <c r="B679" t="s">
        <v>10</v>
      </c>
      <c r="C679" t="s">
        <v>11</v>
      </c>
      <c r="D679" t="s">
        <v>26</v>
      </c>
      <c r="E679" t="s">
        <v>16</v>
      </c>
      <c r="F679" t="s">
        <v>40</v>
      </c>
      <c r="G679">
        <v>1</v>
      </c>
      <c r="H679" s="1">
        <v>4012304</v>
      </c>
      <c r="I679" s="1">
        <v>3129597</v>
      </c>
      <c r="J679" t="s">
        <v>29</v>
      </c>
      <c r="K679" s="1">
        <f>Tabla1[[#This Row],[cantidad]]*Tabla1[[#This Row],[precio_unitario]]</f>
        <v>4012304</v>
      </c>
      <c r="L679" s="1">
        <f>Tabla1[[#This Row],[cantidad]]*Tabla1[[#This Row],[costo_unitario]]</f>
        <v>3129597</v>
      </c>
      <c r="M679" s="1">
        <f>Tabla1[[#This Row],[venta_total]]-Tabla1[[#This Row],[costo_total]]</f>
        <v>882707</v>
      </c>
      <c r="N679" s="3">
        <f>Tabla1[[#This Row],[margen]]/Tabla1[[#This Row],[venta_total]]</f>
        <v>0.22000002990800299</v>
      </c>
    </row>
    <row r="680" spans="1:14" x14ac:dyDescent="0.25">
      <c r="A680" s="2">
        <v>45441</v>
      </c>
      <c r="B680" t="s">
        <v>34</v>
      </c>
      <c r="C680" t="s">
        <v>11</v>
      </c>
      <c r="D680" t="s">
        <v>19</v>
      </c>
      <c r="E680" t="s">
        <v>13</v>
      </c>
      <c r="F680" t="s">
        <v>33</v>
      </c>
      <c r="G680">
        <v>2</v>
      </c>
      <c r="H680" s="1">
        <v>1293828</v>
      </c>
      <c r="I680" s="1">
        <v>905679</v>
      </c>
      <c r="J680" t="s">
        <v>31</v>
      </c>
      <c r="K680" s="1">
        <f>Tabla1[[#This Row],[cantidad]]*Tabla1[[#This Row],[precio_unitario]]</f>
        <v>2587656</v>
      </c>
      <c r="L680" s="1">
        <f>Tabla1[[#This Row],[cantidad]]*Tabla1[[#This Row],[costo_unitario]]</f>
        <v>1811358</v>
      </c>
      <c r="M680" s="1">
        <f>Tabla1[[#This Row],[venta_total]]-Tabla1[[#This Row],[costo_total]]</f>
        <v>776298</v>
      </c>
      <c r="N680" s="3">
        <f>Tabla1[[#This Row],[margen]]/Tabla1[[#This Row],[venta_total]]</f>
        <v>0.3000004637401571</v>
      </c>
    </row>
    <row r="681" spans="1:14" x14ac:dyDescent="0.25">
      <c r="A681" s="2">
        <v>45387</v>
      </c>
      <c r="B681" t="s">
        <v>10</v>
      </c>
      <c r="C681" t="s">
        <v>11</v>
      </c>
      <c r="D681" t="s">
        <v>38</v>
      </c>
      <c r="E681" t="s">
        <v>20</v>
      </c>
      <c r="F681" t="s">
        <v>42</v>
      </c>
      <c r="G681">
        <v>1</v>
      </c>
      <c r="H681" s="1">
        <v>2113198</v>
      </c>
      <c r="I681" s="1">
        <v>1521502</v>
      </c>
      <c r="J681" t="s">
        <v>25</v>
      </c>
      <c r="K681" s="1">
        <f>Tabla1[[#This Row],[cantidad]]*Tabla1[[#This Row],[precio_unitario]]</f>
        <v>2113198</v>
      </c>
      <c r="L681" s="1">
        <f>Tabla1[[#This Row],[cantidad]]*Tabla1[[#This Row],[costo_unitario]]</f>
        <v>1521502</v>
      </c>
      <c r="M681" s="1">
        <f>Tabla1[[#This Row],[venta_total]]-Tabla1[[#This Row],[costo_total]]</f>
        <v>591696</v>
      </c>
      <c r="N681" s="3">
        <f>Tabla1[[#This Row],[margen]]/Tabla1[[#This Row],[venta_total]]</f>
        <v>0.28000026500119723</v>
      </c>
    </row>
    <row r="682" spans="1:14" x14ac:dyDescent="0.25">
      <c r="A682" s="2">
        <v>45378</v>
      </c>
      <c r="B682" t="s">
        <v>34</v>
      </c>
      <c r="C682" t="s">
        <v>11</v>
      </c>
      <c r="D682" t="s">
        <v>26</v>
      </c>
      <c r="E682" t="s">
        <v>13</v>
      </c>
      <c r="F682" t="s">
        <v>27</v>
      </c>
      <c r="G682">
        <v>1</v>
      </c>
      <c r="H682" s="1">
        <v>7699674</v>
      </c>
      <c r="I682" s="1">
        <v>6159739</v>
      </c>
      <c r="J682" t="s">
        <v>25</v>
      </c>
      <c r="K682" s="1">
        <f>Tabla1[[#This Row],[cantidad]]*Tabla1[[#This Row],[precio_unitario]]</f>
        <v>7699674</v>
      </c>
      <c r="L682" s="1">
        <f>Tabla1[[#This Row],[cantidad]]*Tabla1[[#This Row],[costo_unitario]]</f>
        <v>6159739</v>
      </c>
      <c r="M682" s="1">
        <f>Tabla1[[#This Row],[venta_total]]-Tabla1[[#This Row],[costo_total]]</f>
        <v>1539935</v>
      </c>
      <c r="N682" s="3">
        <f>Tabla1[[#This Row],[margen]]/Tabla1[[#This Row],[venta_total]]</f>
        <v>0.2000000259751257</v>
      </c>
    </row>
    <row r="683" spans="1:14" x14ac:dyDescent="0.25">
      <c r="A683" s="2">
        <v>45343</v>
      </c>
      <c r="B683" t="s">
        <v>18</v>
      </c>
      <c r="C683" t="s">
        <v>11</v>
      </c>
      <c r="D683" t="s">
        <v>26</v>
      </c>
      <c r="E683" t="s">
        <v>16</v>
      </c>
      <c r="F683" t="s">
        <v>40</v>
      </c>
      <c r="G683">
        <v>1</v>
      </c>
      <c r="H683" s="1">
        <v>3599210</v>
      </c>
      <c r="I683" s="1">
        <v>2807383</v>
      </c>
      <c r="J683" t="s">
        <v>22</v>
      </c>
      <c r="K683" s="1">
        <f>Tabla1[[#This Row],[cantidad]]*Tabla1[[#This Row],[precio_unitario]]</f>
        <v>3599210</v>
      </c>
      <c r="L683" s="1">
        <f>Tabla1[[#This Row],[cantidad]]*Tabla1[[#This Row],[costo_unitario]]</f>
        <v>2807383</v>
      </c>
      <c r="M683" s="1">
        <f>Tabla1[[#This Row],[venta_total]]-Tabla1[[#This Row],[costo_total]]</f>
        <v>791827</v>
      </c>
      <c r="N683" s="3">
        <f>Tabla1[[#This Row],[margen]]/Tabla1[[#This Row],[venta_total]]</f>
        <v>0.22000022227099836</v>
      </c>
    </row>
    <row r="684" spans="1:14" x14ac:dyDescent="0.25">
      <c r="A684" s="2">
        <v>45464</v>
      </c>
      <c r="B684" t="s">
        <v>10</v>
      </c>
      <c r="C684" t="s">
        <v>11</v>
      </c>
      <c r="D684" t="s">
        <v>26</v>
      </c>
      <c r="E684" t="s">
        <v>16</v>
      </c>
      <c r="F684" t="s">
        <v>40</v>
      </c>
      <c r="G684">
        <v>1</v>
      </c>
      <c r="H684" s="1">
        <v>3847319</v>
      </c>
      <c r="I684" s="1">
        <v>3000908</v>
      </c>
      <c r="J684" t="s">
        <v>22</v>
      </c>
      <c r="K684" s="1">
        <f>Tabla1[[#This Row],[cantidad]]*Tabla1[[#This Row],[precio_unitario]]</f>
        <v>3847319</v>
      </c>
      <c r="L684" s="1">
        <f>Tabla1[[#This Row],[cantidad]]*Tabla1[[#This Row],[costo_unitario]]</f>
        <v>3000908</v>
      </c>
      <c r="M684" s="1">
        <f>Tabla1[[#This Row],[venta_total]]-Tabla1[[#This Row],[costo_total]]</f>
        <v>846411</v>
      </c>
      <c r="N684" s="3">
        <f>Tabla1[[#This Row],[margen]]/Tabla1[[#This Row],[venta_total]]</f>
        <v>0.22000021313543275</v>
      </c>
    </row>
    <row r="685" spans="1:14" x14ac:dyDescent="0.25">
      <c r="A685" s="2">
        <v>45437</v>
      </c>
      <c r="B685" t="s">
        <v>10</v>
      </c>
      <c r="C685" t="s">
        <v>11</v>
      </c>
      <c r="D685" t="s">
        <v>23</v>
      </c>
      <c r="E685" t="s">
        <v>20</v>
      </c>
      <c r="F685" t="s">
        <v>30</v>
      </c>
      <c r="G685">
        <v>1</v>
      </c>
      <c r="H685" s="1">
        <v>1000796</v>
      </c>
      <c r="I685" s="1">
        <v>700557</v>
      </c>
      <c r="J685" t="s">
        <v>15</v>
      </c>
      <c r="K685" s="1">
        <f>Tabla1[[#This Row],[cantidad]]*Tabla1[[#This Row],[precio_unitario]]</f>
        <v>1000796</v>
      </c>
      <c r="L685" s="1">
        <f>Tabla1[[#This Row],[cantidad]]*Tabla1[[#This Row],[costo_unitario]]</f>
        <v>700557</v>
      </c>
      <c r="M685" s="1">
        <f>Tabla1[[#This Row],[venta_total]]-Tabla1[[#This Row],[costo_total]]</f>
        <v>300239</v>
      </c>
      <c r="N685" s="3">
        <f>Tabla1[[#This Row],[margen]]/Tabla1[[#This Row],[venta_total]]</f>
        <v>0.30000019984092663</v>
      </c>
    </row>
    <row r="686" spans="1:14" x14ac:dyDescent="0.25">
      <c r="A686" s="2">
        <v>45451</v>
      </c>
      <c r="B686" t="s">
        <v>34</v>
      </c>
      <c r="C686" t="s">
        <v>11</v>
      </c>
      <c r="D686" t="s">
        <v>38</v>
      </c>
      <c r="E686" t="s">
        <v>20</v>
      </c>
      <c r="F686" t="s">
        <v>42</v>
      </c>
      <c r="G686">
        <v>1</v>
      </c>
      <c r="H686" s="1">
        <v>3162241</v>
      </c>
      <c r="I686" s="1">
        <v>2276813</v>
      </c>
      <c r="J686" t="s">
        <v>22</v>
      </c>
      <c r="K686" s="1">
        <f>Tabla1[[#This Row],[cantidad]]*Tabla1[[#This Row],[precio_unitario]]</f>
        <v>3162241</v>
      </c>
      <c r="L686" s="1">
        <f>Tabla1[[#This Row],[cantidad]]*Tabla1[[#This Row],[costo_unitario]]</f>
        <v>2276813</v>
      </c>
      <c r="M686" s="1">
        <f>Tabla1[[#This Row],[venta_total]]-Tabla1[[#This Row],[costo_total]]</f>
        <v>885428</v>
      </c>
      <c r="N686" s="3">
        <f>Tabla1[[#This Row],[margen]]/Tabla1[[#This Row],[venta_total]]</f>
        <v>0.2800001644403447</v>
      </c>
    </row>
    <row r="687" spans="1:14" x14ac:dyDescent="0.25">
      <c r="A687" s="2">
        <v>45362</v>
      </c>
      <c r="B687" t="s">
        <v>18</v>
      </c>
      <c r="C687" t="s">
        <v>11</v>
      </c>
      <c r="D687" t="s">
        <v>19</v>
      </c>
      <c r="E687" t="s">
        <v>16</v>
      </c>
      <c r="F687" t="s">
        <v>35</v>
      </c>
      <c r="G687">
        <v>1</v>
      </c>
      <c r="H687" s="1">
        <v>724001</v>
      </c>
      <c r="I687" s="1">
        <v>470600</v>
      </c>
      <c r="J687" t="s">
        <v>31</v>
      </c>
      <c r="K687" s="1">
        <f>Tabla1[[#This Row],[cantidad]]*Tabla1[[#This Row],[precio_unitario]]</f>
        <v>724001</v>
      </c>
      <c r="L687" s="1">
        <f>Tabla1[[#This Row],[cantidad]]*Tabla1[[#This Row],[costo_unitario]]</f>
        <v>470600</v>
      </c>
      <c r="M687" s="1">
        <f>Tabla1[[#This Row],[venta_total]]-Tabla1[[#This Row],[costo_total]]</f>
        <v>253401</v>
      </c>
      <c r="N687" s="3">
        <f>Tabla1[[#This Row],[margen]]/Tabla1[[#This Row],[venta_total]]</f>
        <v>0.35000089778881521</v>
      </c>
    </row>
    <row r="688" spans="1:14" x14ac:dyDescent="0.25">
      <c r="A688" s="2">
        <v>45452</v>
      </c>
      <c r="B688" t="s">
        <v>34</v>
      </c>
      <c r="C688" t="s">
        <v>11</v>
      </c>
      <c r="D688" t="s">
        <v>26</v>
      </c>
      <c r="E688" t="s">
        <v>13</v>
      </c>
      <c r="F688" t="s">
        <v>27</v>
      </c>
      <c r="G688">
        <v>1</v>
      </c>
      <c r="H688" s="1">
        <v>6704772</v>
      </c>
      <c r="I688" s="1">
        <v>5363817</v>
      </c>
      <c r="J688" t="s">
        <v>25</v>
      </c>
      <c r="K688" s="1">
        <f>Tabla1[[#This Row],[cantidad]]*Tabla1[[#This Row],[precio_unitario]]</f>
        <v>6704772</v>
      </c>
      <c r="L688" s="1">
        <f>Tabla1[[#This Row],[cantidad]]*Tabla1[[#This Row],[costo_unitario]]</f>
        <v>5363817</v>
      </c>
      <c r="M688" s="1">
        <f>Tabla1[[#This Row],[venta_total]]-Tabla1[[#This Row],[costo_total]]</f>
        <v>1340955</v>
      </c>
      <c r="N688" s="3">
        <f>Tabla1[[#This Row],[margen]]/Tabla1[[#This Row],[venta_total]]</f>
        <v>0.20000008948850162</v>
      </c>
    </row>
    <row r="689" spans="1:14" x14ac:dyDescent="0.25">
      <c r="A689" s="2">
        <v>45329</v>
      </c>
      <c r="B689" t="s">
        <v>32</v>
      </c>
      <c r="C689" t="s">
        <v>11</v>
      </c>
      <c r="D689" t="s">
        <v>26</v>
      </c>
      <c r="E689" t="s">
        <v>20</v>
      </c>
      <c r="F689" t="s">
        <v>36</v>
      </c>
      <c r="G689">
        <v>1</v>
      </c>
      <c r="H689" s="1">
        <v>2123697</v>
      </c>
      <c r="I689" s="1">
        <v>1592772</v>
      </c>
      <c r="J689" t="s">
        <v>29</v>
      </c>
      <c r="K689" s="1">
        <f>Tabla1[[#This Row],[cantidad]]*Tabla1[[#This Row],[precio_unitario]]</f>
        <v>2123697</v>
      </c>
      <c r="L689" s="1">
        <f>Tabla1[[#This Row],[cantidad]]*Tabla1[[#This Row],[costo_unitario]]</f>
        <v>1592772</v>
      </c>
      <c r="M689" s="1">
        <f>Tabla1[[#This Row],[venta_total]]-Tabla1[[#This Row],[costo_total]]</f>
        <v>530925</v>
      </c>
      <c r="N689" s="3">
        <f>Tabla1[[#This Row],[margen]]/Tabla1[[#This Row],[venta_total]]</f>
        <v>0.25000035315772445</v>
      </c>
    </row>
    <row r="690" spans="1:14" x14ac:dyDescent="0.25">
      <c r="A690" s="2">
        <v>45424</v>
      </c>
      <c r="B690" t="s">
        <v>32</v>
      </c>
      <c r="C690" t="s">
        <v>11</v>
      </c>
      <c r="D690" t="s">
        <v>38</v>
      </c>
      <c r="E690" t="s">
        <v>13</v>
      </c>
      <c r="F690" t="s">
        <v>41</v>
      </c>
      <c r="G690">
        <v>1</v>
      </c>
      <c r="H690" s="1">
        <v>7137522</v>
      </c>
      <c r="I690" s="1">
        <v>5710017</v>
      </c>
      <c r="J690" t="s">
        <v>29</v>
      </c>
      <c r="K690" s="1">
        <f>Tabla1[[#This Row],[cantidad]]*Tabla1[[#This Row],[precio_unitario]]</f>
        <v>7137522</v>
      </c>
      <c r="L690" s="1">
        <f>Tabla1[[#This Row],[cantidad]]*Tabla1[[#This Row],[costo_unitario]]</f>
        <v>5710017</v>
      </c>
      <c r="M690" s="1">
        <f>Tabla1[[#This Row],[venta_total]]-Tabla1[[#This Row],[costo_total]]</f>
        <v>1427505</v>
      </c>
      <c r="N690" s="3">
        <f>Tabla1[[#This Row],[margen]]/Tabla1[[#This Row],[venta_total]]</f>
        <v>0.20000008406278819</v>
      </c>
    </row>
    <row r="691" spans="1:14" x14ac:dyDescent="0.25">
      <c r="A691" s="2">
        <v>45338</v>
      </c>
      <c r="B691" t="s">
        <v>10</v>
      </c>
      <c r="C691" t="s">
        <v>11</v>
      </c>
      <c r="D691" t="s">
        <v>12</v>
      </c>
      <c r="E691" t="s">
        <v>20</v>
      </c>
      <c r="F691" t="s">
        <v>37</v>
      </c>
      <c r="G691">
        <v>1</v>
      </c>
      <c r="H691" s="1">
        <v>2106792</v>
      </c>
      <c r="I691" s="1">
        <v>1580094</v>
      </c>
      <c r="J691" t="s">
        <v>22</v>
      </c>
      <c r="K691" s="1">
        <f>Tabla1[[#This Row],[cantidad]]*Tabla1[[#This Row],[precio_unitario]]</f>
        <v>2106792</v>
      </c>
      <c r="L691" s="1">
        <f>Tabla1[[#This Row],[cantidad]]*Tabla1[[#This Row],[costo_unitario]]</f>
        <v>1580094</v>
      </c>
      <c r="M691" s="1">
        <f>Tabla1[[#This Row],[venta_total]]-Tabla1[[#This Row],[costo_total]]</f>
        <v>526698</v>
      </c>
      <c r="N691" s="3">
        <f>Tabla1[[#This Row],[margen]]/Tabla1[[#This Row],[venta_total]]</f>
        <v>0.25</v>
      </c>
    </row>
    <row r="692" spans="1:14" x14ac:dyDescent="0.25">
      <c r="A692" s="2">
        <v>45298</v>
      </c>
      <c r="B692" t="s">
        <v>18</v>
      </c>
      <c r="C692" t="s">
        <v>11</v>
      </c>
      <c r="D692" t="s">
        <v>12</v>
      </c>
      <c r="E692" t="s">
        <v>16</v>
      </c>
      <c r="F692" t="s">
        <v>17</v>
      </c>
      <c r="G692">
        <v>1</v>
      </c>
      <c r="H692" s="1">
        <v>3410873</v>
      </c>
      <c r="I692" s="1">
        <v>2660480</v>
      </c>
      <c r="J692" t="s">
        <v>25</v>
      </c>
      <c r="K692" s="1">
        <f>Tabla1[[#This Row],[cantidad]]*Tabla1[[#This Row],[precio_unitario]]</f>
        <v>3410873</v>
      </c>
      <c r="L692" s="1">
        <f>Tabla1[[#This Row],[cantidad]]*Tabla1[[#This Row],[costo_unitario]]</f>
        <v>2660480</v>
      </c>
      <c r="M692" s="1">
        <f>Tabla1[[#This Row],[venta_total]]-Tabla1[[#This Row],[costo_total]]</f>
        <v>750393</v>
      </c>
      <c r="N692" s="3">
        <f>Tabla1[[#This Row],[margen]]/Tabla1[[#This Row],[venta_total]]</f>
        <v>0.22000027558926996</v>
      </c>
    </row>
    <row r="693" spans="1:14" x14ac:dyDescent="0.25">
      <c r="A693" s="2">
        <v>45353</v>
      </c>
      <c r="B693" t="s">
        <v>18</v>
      </c>
      <c r="C693" t="s">
        <v>11</v>
      </c>
      <c r="D693" t="s">
        <v>19</v>
      </c>
      <c r="E693" t="s">
        <v>16</v>
      </c>
      <c r="F693" t="s">
        <v>35</v>
      </c>
      <c r="G693">
        <v>3</v>
      </c>
      <c r="H693" s="1">
        <v>1100482</v>
      </c>
      <c r="I693" s="1">
        <v>715313</v>
      </c>
      <c r="J693" t="s">
        <v>25</v>
      </c>
      <c r="K693" s="1">
        <f>Tabla1[[#This Row],[cantidad]]*Tabla1[[#This Row],[precio_unitario]]</f>
        <v>3301446</v>
      </c>
      <c r="L693" s="1">
        <f>Tabla1[[#This Row],[cantidad]]*Tabla1[[#This Row],[costo_unitario]]</f>
        <v>2145939</v>
      </c>
      <c r="M693" s="1">
        <f>Tabla1[[#This Row],[venta_total]]-Tabla1[[#This Row],[costo_total]]</f>
        <v>1155507</v>
      </c>
      <c r="N693" s="3">
        <f>Tabla1[[#This Row],[margen]]/Tabla1[[#This Row],[venta_total]]</f>
        <v>0.35000027260782096</v>
      </c>
    </row>
    <row r="694" spans="1:14" x14ac:dyDescent="0.25">
      <c r="A694" s="2">
        <v>45473</v>
      </c>
      <c r="B694" t="s">
        <v>32</v>
      </c>
      <c r="C694" t="s">
        <v>11</v>
      </c>
      <c r="D694" t="s">
        <v>23</v>
      </c>
      <c r="E694" t="s">
        <v>20</v>
      </c>
      <c r="F694" t="s">
        <v>30</v>
      </c>
      <c r="G694">
        <v>1</v>
      </c>
      <c r="H694" s="1">
        <v>1125151</v>
      </c>
      <c r="I694" s="1">
        <v>787605</v>
      </c>
      <c r="J694" t="s">
        <v>31</v>
      </c>
      <c r="K694" s="1">
        <f>Tabla1[[#This Row],[cantidad]]*Tabla1[[#This Row],[precio_unitario]]</f>
        <v>1125151</v>
      </c>
      <c r="L694" s="1">
        <f>Tabla1[[#This Row],[cantidad]]*Tabla1[[#This Row],[costo_unitario]]</f>
        <v>787605</v>
      </c>
      <c r="M694" s="1">
        <f>Tabla1[[#This Row],[venta_total]]-Tabla1[[#This Row],[costo_total]]</f>
        <v>337546</v>
      </c>
      <c r="N694" s="3">
        <f>Tabla1[[#This Row],[margen]]/Tabla1[[#This Row],[venta_total]]</f>
        <v>0.30000062213871737</v>
      </c>
    </row>
    <row r="695" spans="1:14" x14ac:dyDescent="0.25">
      <c r="A695" s="2">
        <v>45375</v>
      </c>
      <c r="B695" t="s">
        <v>34</v>
      </c>
      <c r="C695" t="s">
        <v>11</v>
      </c>
      <c r="D695" t="s">
        <v>12</v>
      </c>
      <c r="E695" t="s">
        <v>16</v>
      </c>
      <c r="F695" t="s">
        <v>17</v>
      </c>
      <c r="G695">
        <v>1</v>
      </c>
      <c r="H695" s="1">
        <v>3113568</v>
      </c>
      <c r="I695" s="1">
        <v>2428583</v>
      </c>
      <c r="J695" t="s">
        <v>31</v>
      </c>
      <c r="K695" s="1">
        <f>Tabla1[[#This Row],[cantidad]]*Tabla1[[#This Row],[precio_unitario]]</f>
        <v>3113568</v>
      </c>
      <c r="L695" s="1">
        <f>Tabla1[[#This Row],[cantidad]]*Tabla1[[#This Row],[costo_unitario]]</f>
        <v>2428583</v>
      </c>
      <c r="M695" s="1">
        <f>Tabla1[[#This Row],[venta_total]]-Tabla1[[#This Row],[costo_total]]</f>
        <v>684985</v>
      </c>
      <c r="N695" s="3">
        <f>Tabla1[[#This Row],[margen]]/Tabla1[[#This Row],[venta_total]]</f>
        <v>0.22000001284699741</v>
      </c>
    </row>
    <row r="696" spans="1:14" x14ac:dyDescent="0.25">
      <c r="A696" s="2">
        <v>45345</v>
      </c>
      <c r="B696" t="s">
        <v>18</v>
      </c>
      <c r="C696" t="s">
        <v>11</v>
      </c>
      <c r="D696" t="s">
        <v>19</v>
      </c>
      <c r="E696" t="s">
        <v>20</v>
      </c>
      <c r="F696" t="s">
        <v>21</v>
      </c>
      <c r="G696">
        <v>3</v>
      </c>
      <c r="H696" s="1">
        <v>439234</v>
      </c>
      <c r="I696" s="1">
        <v>263540</v>
      </c>
      <c r="J696" t="s">
        <v>15</v>
      </c>
      <c r="K696" s="1">
        <f>Tabla1[[#This Row],[cantidad]]*Tabla1[[#This Row],[precio_unitario]]</f>
        <v>1317702</v>
      </c>
      <c r="L696" s="1">
        <f>Tabla1[[#This Row],[cantidad]]*Tabla1[[#This Row],[costo_unitario]]</f>
        <v>790620</v>
      </c>
      <c r="M696" s="1">
        <f>Tabla1[[#This Row],[venta_total]]-Tabla1[[#This Row],[costo_total]]</f>
        <v>527082</v>
      </c>
      <c r="N696" s="3">
        <f>Tabla1[[#This Row],[margen]]/Tabla1[[#This Row],[venta_total]]</f>
        <v>0.40000091067631377</v>
      </c>
    </row>
    <row r="697" spans="1:14" x14ac:dyDescent="0.25">
      <c r="A697" s="2">
        <v>45438</v>
      </c>
      <c r="B697" t="s">
        <v>32</v>
      </c>
      <c r="C697" t="s">
        <v>11</v>
      </c>
      <c r="D697" t="s">
        <v>12</v>
      </c>
      <c r="E697" t="s">
        <v>20</v>
      </c>
      <c r="F697" t="s">
        <v>37</v>
      </c>
      <c r="G697">
        <v>1</v>
      </c>
      <c r="H697" s="1">
        <v>2723824</v>
      </c>
      <c r="I697" s="1">
        <v>2042868</v>
      </c>
      <c r="J697" t="s">
        <v>31</v>
      </c>
      <c r="K697" s="1">
        <f>Tabla1[[#This Row],[cantidad]]*Tabla1[[#This Row],[precio_unitario]]</f>
        <v>2723824</v>
      </c>
      <c r="L697" s="1">
        <f>Tabla1[[#This Row],[cantidad]]*Tabla1[[#This Row],[costo_unitario]]</f>
        <v>2042868</v>
      </c>
      <c r="M697" s="1">
        <f>Tabla1[[#This Row],[venta_total]]-Tabla1[[#This Row],[costo_total]]</f>
        <v>680956</v>
      </c>
      <c r="N697" s="3">
        <f>Tabla1[[#This Row],[margen]]/Tabla1[[#This Row],[venta_total]]</f>
        <v>0.25</v>
      </c>
    </row>
    <row r="698" spans="1:14" x14ac:dyDescent="0.25">
      <c r="A698" s="2">
        <v>45449</v>
      </c>
      <c r="B698" t="s">
        <v>18</v>
      </c>
      <c r="C698" t="s">
        <v>11</v>
      </c>
      <c r="D698" t="s">
        <v>38</v>
      </c>
      <c r="E698" t="s">
        <v>20</v>
      </c>
      <c r="F698" t="s">
        <v>42</v>
      </c>
      <c r="G698">
        <v>1</v>
      </c>
      <c r="H698" s="1">
        <v>2803387</v>
      </c>
      <c r="I698" s="1">
        <v>2018438</v>
      </c>
      <c r="J698" t="s">
        <v>31</v>
      </c>
      <c r="K698" s="1">
        <f>Tabla1[[#This Row],[cantidad]]*Tabla1[[#This Row],[precio_unitario]]</f>
        <v>2803387</v>
      </c>
      <c r="L698" s="1">
        <f>Tabla1[[#This Row],[cantidad]]*Tabla1[[#This Row],[costo_unitario]]</f>
        <v>2018438</v>
      </c>
      <c r="M698" s="1">
        <f>Tabla1[[#This Row],[venta_total]]-Tabla1[[#This Row],[costo_total]]</f>
        <v>784949</v>
      </c>
      <c r="N698" s="3">
        <f>Tabla1[[#This Row],[margen]]/Tabla1[[#This Row],[venta_total]]</f>
        <v>0.28000022829527282</v>
      </c>
    </row>
    <row r="699" spans="1:14" x14ac:dyDescent="0.25">
      <c r="A699" s="2">
        <v>45306</v>
      </c>
      <c r="B699" t="s">
        <v>10</v>
      </c>
      <c r="C699" t="s">
        <v>11</v>
      </c>
      <c r="D699" t="s">
        <v>23</v>
      </c>
      <c r="E699" t="s">
        <v>20</v>
      </c>
      <c r="F699" t="s">
        <v>30</v>
      </c>
      <c r="G699">
        <v>1</v>
      </c>
      <c r="H699" s="1">
        <v>886320</v>
      </c>
      <c r="I699" s="1">
        <v>620424</v>
      </c>
      <c r="J699" t="s">
        <v>25</v>
      </c>
      <c r="K699" s="1">
        <f>Tabla1[[#This Row],[cantidad]]*Tabla1[[#This Row],[precio_unitario]]</f>
        <v>886320</v>
      </c>
      <c r="L699" s="1">
        <f>Tabla1[[#This Row],[cantidad]]*Tabla1[[#This Row],[costo_unitario]]</f>
        <v>620424</v>
      </c>
      <c r="M699" s="1">
        <f>Tabla1[[#This Row],[venta_total]]-Tabla1[[#This Row],[costo_total]]</f>
        <v>265896</v>
      </c>
      <c r="N699" s="3">
        <f>Tabla1[[#This Row],[margen]]/Tabla1[[#This Row],[venta_total]]</f>
        <v>0.3</v>
      </c>
    </row>
    <row r="700" spans="1:14" x14ac:dyDescent="0.25">
      <c r="A700" s="2">
        <v>45411</v>
      </c>
      <c r="B700" t="s">
        <v>34</v>
      </c>
      <c r="C700" t="s">
        <v>11</v>
      </c>
      <c r="D700" t="s">
        <v>19</v>
      </c>
      <c r="E700" t="s">
        <v>20</v>
      </c>
      <c r="F700" t="s">
        <v>21</v>
      </c>
      <c r="G700">
        <v>3</v>
      </c>
      <c r="H700" s="1">
        <v>498791</v>
      </c>
      <c r="I700" s="1">
        <v>299274</v>
      </c>
      <c r="J700" t="s">
        <v>31</v>
      </c>
      <c r="K700" s="1">
        <f>Tabla1[[#This Row],[cantidad]]*Tabla1[[#This Row],[precio_unitario]]</f>
        <v>1496373</v>
      </c>
      <c r="L700" s="1">
        <f>Tabla1[[#This Row],[cantidad]]*Tabla1[[#This Row],[costo_unitario]]</f>
        <v>897822</v>
      </c>
      <c r="M700" s="1">
        <f>Tabla1[[#This Row],[venta_total]]-Tabla1[[#This Row],[costo_total]]</f>
        <v>598551</v>
      </c>
      <c r="N700" s="3">
        <f>Tabla1[[#This Row],[margen]]/Tabla1[[#This Row],[venta_total]]</f>
        <v>0.40000120290863306</v>
      </c>
    </row>
    <row r="701" spans="1:14" x14ac:dyDescent="0.25">
      <c r="A701" s="2">
        <v>45300</v>
      </c>
      <c r="B701" t="s">
        <v>10</v>
      </c>
      <c r="C701" t="s">
        <v>11</v>
      </c>
      <c r="D701" t="s">
        <v>38</v>
      </c>
      <c r="E701" t="s">
        <v>16</v>
      </c>
      <c r="F701" t="s">
        <v>39</v>
      </c>
      <c r="G701">
        <v>1</v>
      </c>
      <c r="H701" s="1">
        <v>5941327</v>
      </c>
      <c r="I701" s="1">
        <v>4455995</v>
      </c>
      <c r="J701" t="s">
        <v>31</v>
      </c>
      <c r="K701" s="1">
        <f>Tabla1[[#This Row],[cantidad]]*Tabla1[[#This Row],[precio_unitario]]</f>
        <v>5941327</v>
      </c>
      <c r="L701" s="1">
        <f>Tabla1[[#This Row],[cantidad]]*Tabla1[[#This Row],[costo_unitario]]</f>
        <v>4455995</v>
      </c>
      <c r="M701" s="1">
        <f>Tabla1[[#This Row],[venta_total]]-Tabla1[[#This Row],[costo_total]]</f>
        <v>1485332</v>
      </c>
      <c r="N701" s="3">
        <f>Tabla1[[#This Row],[margen]]/Tabla1[[#This Row],[venta_total]]</f>
        <v>0.2500000420781418</v>
      </c>
    </row>
    <row r="702" spans="1:14" x14ac:dyDescent="0.25">
      <c r="A702" s="2">
        <v>45401</v>
      </c>
      <c r="B702" t="s">
        <v>18</v>
      </c>
      <c r="C702" t="s">
        <v>11</v>
      </c>
      <c r="D702" t="s">
        <v>23</v>
      </c>
      <c r="E702" t="s">
        <v>20</v>
      </c>
      <c r="F702" t="s">
        <v>30</v>
      </c>
      <c r="G702">
        <v>1</v>
      </c>
      <c r="H702" s="1">
        <v>839668</v>
      </c>
      <c r="I702" s="1">
        <v>587767</v>
      </c>
      <c r="J702" t="s">
        <v>22</v>
      </c>
      <c r="K702" s="1">
        <f>Tabla1[[#This Row],[cantidad]]*Tabla1[[#This Row],[precio_unitario]]</f>
        <v>839668</v>
      </c>
      <c r="L702" s="1">
        <f>Tabla1[[#This Row],[cantidad]]*Tabla1[[#This Row],[costo_unitario]]</f>
        <v>587767</v>
      </c>
      <c r="M702" s="1">
        <f>Tabla1[[#This Row],[venta_total]]-Tabla1[[#This Row],[costo_total]]</f>
        <v>251901</v>
      </c>
      <c r="N702" s="3">
        <f>Tabla1[[#This Row],[margen]]/Tabla1[[#This Row],[venta_total]]</f>
        <v>0.30000071456813882</v>
      </c>
    </row>
    <row r="703" spans="1:14" x14ac:dyDescent="0.25">
      <c r="A703" s="2">
        <v>45374</v>
      </c>
      <c r="B703" t="s">
        <v>34</v>
      </c>
      <c r="C703" t="s">
        <v>11</v>
      </c>
      <c r="D703" t="s">
        <v>12</v>
      </c>
      <c r="E703" t="s">
        <v>20</v>
      </c>
      <c r="F703" t="s">
        <v>37</v>
      </c>
      <c r="G703">
        <v>1</v>
      </c>
      <c r="H703" s="1">
        <v>2344557</v>
      </c>
      <c r="I703" s="1">
        <v>1758417</v>
      </c>
      <c r="J703" t="s">
        <v>29</v>
      </c>
      <c r="K703" s="1">
        <f>Tabla1[[#This Row],[cantidad]]*Tabla1[[#This Row],[precio_unitario]]</f>
        <v>2344557</v>
      </c>
      <c r="L703" s="1">
        <f>Tabla1[[#This Row],[cantidad]]*Tabla1[[#This Row],[costo_unitario]]</f>
        <v>1758417</v>
      </c>
      <c r="M703" s="1">
        <f>Tabla1[[#This Row],[venta_total]]-Tabla1[[#This Row],[costo_total]]</f>
        <v>586140</v>
      </c>
      <c r="N703" s="3">
        <f>Tabla1[[#This Row],[margen]]/Tabla1[[#This Row],[venta_total]]</f>
        <v>0.25000031988985555</v>
      </c>
    </row>
    <row r="704" spans="1:14" x14ac:dyDescent="0.25">
      <c r="A704" s="2">
        <v>45308</v>
      </c>
      <c r="B704" t="s">
        <v>32</v>
      </c>
      <c r="C704" t="s">
        <v>11</v>
      </c>
      <c r="D704" t="s">
        <v>26</v>
      </c>
      <c r="E704" t="s">
        <v>13</v>
      </c>
      <c r="F704" t="s">
        <v>27</v>
      </c>
      <c r="G704">
        <v>1</v>
      </c>
      <c r="H704" s="1">
        <v>5107173</v>
      </c>
      <c r="I704" s="1">
        <v>4085738</v>
      </c>
      <c r="J704" t="s">
        <v>25</v>
      </c>
      <c r="K704" s="1">
        <f>Tabla1[[#This Row],[cantidad]]*Tabla1[[#This Row],[precio_unitario]]</f>
        <v>5107173</v>
      </c>
      <c r="L704" s="1">
        <f>Tabla1[[#This Row],[cantidad]]*Tabla1[[#This Row],[costo_unitario]]</f>
        <v>4085738</v>
      </c>
      <c r="M704" s="1">
        <f>Tabla1[[#This Row],[venta_total]]-Tabla1[[#This Row],[costo_total]]</f>
        <v>1021435</v>
      </c>
      <c r="N704" s="3">
        <f>Tabla1[[#This Row],[margen]]/Tabla1[[#This Row],[venta_total]]</f>
        <v>0.20000007832121605</v>
      </c>
    </row>
    <row r="705" spans="1:14" x14ac:dyDescent="0.25">
      <c r="A705" s="2">
        <v>45361</v>
      </c>
      <c r="B705" t="s">
        <v>10</v>
      </c>
      <c r="C705" t="s">
        <v>11</v>
      </c>
      <c r="D705" t="s">
        <v>38</v>
      </c>
      <c r="E705" t="s">
        <v>20</v>
      </c>
      <c r="F705" t="s">
        <v>42</v>
      </c>
      <c r="G705">
        <v>1</v>
      </c>
      <c r="H705" s="1">
        <v>2403964</v>
      </c>
      <c r="I705" s="1">
        <v>1730854</v>
      </c>
      <c r="J705" t="s">
        <v>22</v>
      </c>
      <c r="K705" s="1">
        <f>Tabla1[[#This Row],[cantidad]]*Tabla1[[#This Row],[precio_unitario]]</f>
        <v>2403964</v>
      </c>
      <c r="L705" s="1">
        <f>Tabla1[[#This Row],[cantidad]]*Tabla1[[#This Row],[costo_unitario]]</f>
        <v>1730854</v>
      </c>
      <c r="M705" s="1">
        <f>Tabla1[[#This Row],[venta_total]]-Tabla1[[#This Row],[costo_total]]</f>
        <v>673110</v>
      </c>
      <c r="N705" s="3">
        <f>Tabla1[[#This Row],[margen]]/Tabla1[[#This Row],[venta_total]]</f>
        <v>0.28000003327836859</v>
      </c>
    </row>
    <row r="706" spans="1:14" x14ac:dyDescent="0.25">
      <c r="A706" s="2">
        <v>45316</v>
      </c>
      <c r="B706" t="s">
        <v>34</v>
      </c>
      <c r="C706" t="s">
        <v>11</v>
      </c>
      <c r="D706" t="s">
        <v>38</v>
      </c>
      <c r="E706" t="s">
        <v>16</v>
      </c>
      <c r="F706" t="s">
        <v>39</v>
      </c>
      <c r="G706">
        <v>1</v>
      </c>
      <c r="H706" s="1">
        <v>4820260</v>
      </c>
      <c r="I706" s="1">
        <v>3615195</v>
      </c>
      <c r="J706" t="s">
        <v>29</v>
      </c>
      <c r="K706" s="1">
        <f>Tabla1[[#This Row],[cantidad]]*Tabla1[[#This Row],[precio_unitario]]</f>
        <v>4820260</v>
      </c>
      <c r="L706" s="1">
        <f>Tabla1[[#This Row],[cantidad]]*Tabla1[[#This Row],[costo_unitario]]</f>
        <v>3615195</v>
      </c>
      <c r="M706" s="1">
        <f>Tabla1[[#This Row],[venta_total]]-Tabla1[[#This Row],[costo_total]]</f>
        <v>1205065</v>
      </c>
      <c r="N706" s="3">
        <f>Tabla1[[#This Row],[margen]]/Tabla1[[#This Row],[venta_total]]</f>
        <v>0.25</v>
      </c>
    </row>
    <row r="707" spans="1:14" x14ac:dyDescent="0.25">
      <c r="A707" s="2">
        <v>45323</v>
      </c>
      <c r="B707" t="s">
        <v>10</v>
      </c>
      <c r="C707" t="s">
        <v>11</v>
      </c>
      <c r="D707" t="s">
        <v>12</v>
      </c>
      <c r="E707" t="s">
        <v>16</v>
      </c>
      <c r="F707" t="s">
        <v>17</v>
      </c>
      <c r="G707">
        <v>1</v>
      </c>
      <c r="H707" s="1">
        <v>3882780</v>
      </c>
      <c r="I707" s="1">
        <v>3028568</v>
      </c>
      <c r="J707" t="s">
        <v>31</v>
      </c>
      <c r="K707" s="1">
        <f>Tabla1[[#This Row],[cantidad]]*Tabla1[[#This Row],[precio_unitario]]</f>
        <v>3882780</v>
      </c>
      <c r="L707" s="1">
        <f>Tabla1[[#This Row],[cantidad]]*Tabla1[[#This Row],[costo_unitario]]</f>
        <v>3028568</v>
      </c>
      <c r="M707" s="1">
        <f>Tabla1[[#This Row],[venta_total]]-Tabla1[[#This Row],[costo_total]]</f>
        <v>854212</v>
      </c>
      <c r="N707" s="3">
        <f>Tabla1[[#This Row],[margen]]/Tabla1[[#This Row],[venta_total]]</f>
        <v>0.22000010301897094</v>
      </c>
    </row>
    <row r="708" spans="1:14" x14ac:dyDescent="0.25">
      <c r="A708" s="2">
        <v>45393</v>
      </c>
      <c r="B708" t="s">
        <v>32</v>
      </c>
      <c r="C708" t="s">
        <v>11</v>
      </c>
      <c r="D708" t="s">
        <v>12</v>
      </c>
      <c r="E708" t="s">
        <v>20</v>
      </c>
      <c r="F708" t="s">
        <v>37</v>
      </c>
      <c r="G708">
        <v>1</v>
      </c>
      <c r="H708" s="1">
        <v>2084011</v>
      </c>
      <c r="I708" s="1">
        <v>1563008</v>
      </c>
      <c r="J708" t="s">
        <v>31</v>
      </c>
      <c r="K708" s="1">
        <f>Tabla1[[#This Row],[cantidad]]*Tabla1[[#This Row],[precio_unitario]]</f>
        <v>2084011</v>
      </c>
      <c r="L708" s="1">
        <f>Tabla1[[#This Row],[cantidad]]*Tabla1[[#This Row],[costo_unitario]]</f>
        <v>1563008</v>
      </c>
      <c r="M708" s="1">
        <f>Tabla1[[#This Row],[venta_total]]-Tabla1[[#This Row],[costo_total]]</f>
        <v>521003</v>
      </c>
      <c r="N708" s="3">
        <f>Tabla1[[#This Row],[margen]]/Tabla1[[#This Row],[venta_total]]</f>
        <v>0.25000011996097909</v>
      </c>
    </row>
    <row r="709" spans="1:14" x14ac:dyDescent="0.25">
      <c r="A709" s="2">
        <v>45466</v>
      </c>
      <c r="B709" t="s">
        <v>10</v>
      </c>
      <c r="C709" t="s">
        <v>11</v>
      </c>
      <c r="D709" t="s">
        <v>19</v>
      </c>
      <c r="E709" t="s">
        <v>13</v>
      </c>
      <c r="F709" t="s">
        <v>33</v>
      </c>
      <c r="G709">
        <v>3</v>
      </c>
      <c r="H709" s="1">
        <v>1897413</v>
      </c>
      <c r="I709" s="1">
        <v>1328189</v>
      </c>
      <c r="J709" t="s">
        <v>29</v>
      </c>
      <c r="K709" s="1">
        <f>Tabla1[[#This Row],[cantidad]]*Tabla1[[#This Row],[precio_unitario]]</f>
        <v>5692239</v>
      </c>
      <c r="L709" s="1">
        <f>Tabla1[[#This Row],[cantidad]]*Tabla1[[#This Row],[costo_unitario]]</f>
        <v>3984567</v>
      </c>
      <c r="M709" s="1">
        <f>Tabla1[[#This Row],[venta_total]]-Tabla1[[#This Row],[costo_total]]</f>
        <v>1707672</v>
      </c>
      <c r="N709" s="3">
        <f>Tabla1[[#This Row],[margen]]/Tabla1[[#This Row],[venta_total]]</f>
        <v>0.30000005270333868</v>
      </c>
    </row>
    <row r="710" spans="1:14" x14ac:dyDescent="0.25">
      <c r="A710" s="2">
        <v>45309</v>
      </c>
      <c r="B710" t="s">
        <v>32</v>
      </c>
      <c r="C710" t="s">
        <v>11</v>
      </c>
      <c r="D710" t="s">
        <v>19</v>
      </c>
      <c r="E710" t="s">
        <v>20</v>
      </c>
      <c r="F710" t="s">
        <v>21</v>
      </c>
      <c r="G710">
        <v>2</v>
      </c>
      <c r="H710" s="1">
        <v>258336</v>
      </c>
      <c r="I710" s="1">
        <v>155001</v>
      </c>
      <c r="J710" t="s">
        <v>29</v>
      </c>
      <c r="K710" s="1">
        <f>Tabla1[[#This Row],[cantidad]]*Tabla1[[#This Row],[precio_unitario]]</f>
        <v>516672</v>
      </c>
      <c r="L710" s="1">
        <f>Tabla1[[#This Row],[cantidad]]*Tabla1[[#This Row],[costo_unitario]]</f>
        <v>310002</v>
      </c>
      <c r="M710" s="1">
        <f>Tabla1[[#This Row],[venta_total]]-Tabla1[[#This Row],[costo_total]]</f>
        <v>206670</v>
      </c>
      <c r="N710" s="3">
        <f>Tabla1[[#This Row],[margen]]/Tabla1[[#This Row],[venta_total]]</f>
        <v>0.4000023225566704</v>
      </c>
    </row>
    <row r="711" spans="1:14" x14ac:dyDescent="0.25">
      <c r="A711" s="2">
        <v>45312</v>
      </c>
      <c r="B711" t="s">
        <v>18</v>
      </c>
      <c r="C711" t="s">
        <v>11</v>
      </c>
      <c r="D711" t="s">
        <v>12</v>
      </c>
      <c r="E711" t="s">
        <v>20</v>
      </c>
      <c r="F711" t="s">
        <v>37</v>
      </c>
      <c r="G711">
        <v>1</v>
      </c>
      <c r="H711" s="1">
        <v>2284048</v>
      </c>
      <c r="I711" s="1">
        <v>1713036</v>
      </c>
      <c r="J711" t="s">
        <v>25</v>
      </c>
      <c r="K711" s="1">
        <f>Tabla1[[#This Row],[cantidad]]*Tabla1[[#This Row],[precio_unitario]]</f>
        <v>2284048</v>
      </c>
      <c r="L711" s="1">
        <f>Tabla1[[#This Row],[cantidad]]*Tabla1[[#This Row],[costo_unitario]]</f>
        <v>1713036</v>
      </c>
      <c r="M711" s="1">
        <f>Tabla1[[#This Row],[venta_total]]-Tabla1[[#This Row],[costo_total]]</f>
        <v>571012</v>
      </c>
      <c r="N711" s="3">
        <f>Tabla1[[#This Row],[margen]]/Tabla1[[#This Row],[venta_total]]</f>
        <v>0.25</v>
      </c>
    </row>
    <row r="712" spans="1:14" x14ac:dyDescent="0.25">
      <c r="A712" s="2">
        <v>45388</v>
      </c>
      <c r="B712" t="s">
        <v>34</v>
      </c>
      <c r="C712" t="s">
        <v>11</v>
      </c>
      <c r="D712" t="s">
        <v>19</v>
      </c>
      <c r="E712" t="s">
        <v>20</v>
      </c>
      <c r="F712" t="s">
        <v>21</v>
      </c>
      <c r="G712">
        <v>1</v>
      </c>
      <c r="H712" s="1">
        <v>411638</v>
      </c>
      <c r="I712" s="1">
        <v>246982</v>
      </c>
      <c r="J712" t="s">
        <v>15</v>
      </c>
      <c r="K712" s="1">
        <f>Tabla1[[#This Row],[cantidad]]*Tabla1[[#This Row],[precio_unitario]]</f>
        <v>411638</v>
      </c>
      <c r="L712" s="1">
        <f>Tabla1[[#This Row],[cantidad]]*Tabla1[[#This Row],[costo_unitario]]</f>
        <v>246982</v>
      </c>
      <c r="M712" s="1">
        <f>Tabla1[[#This Row],[venta_total]]-Tabla1[[#This Row],[costo_total]]</f>
        <v>164656</v>
      </c>
      <c r="N712" s="3">
        <f>Tabla1[[#This Row],[margen]]/Tabla1[[#This Row],[venta_total]]</f>
        <v>0.40000194345517176</v>
      </c>
    </row>
    <row r="713" spans="1:14" x14ac:dyDescent="0.25">
      <c r="A713" s="2">
        <v>45323</v>
      </c>
      <c r="B713" t="s">
        <v>32</v>
      </c>
      <c r="C713" t="s">
        <v>11</v>
      </c>
      <c r="D713" t="s">
        <v>23</v>
      </c>
      <c r="E713" t="s">
        <v>16</v>
      </c>
      <c r="F713" t="s">
        <v>24</v>
      </c>
      <c r="G713">
        <v>1</v>
      </c>
      <c r="H713" s="1">
        <v>1687024</v>
      </c>
      <c r="I713" s="1">
        <v>1265268</v>
      </c>
      <c r="J713" t="s">
        <v>15</v>
      </c>
      <c r="K713" s="1">
        <f>Tabla1[[#This Row],[cantidad]]*Tabla1[[#This Row],[precio_unitario]]</f>
        <v>1687024</v>
      </c>
      <c r="L713" s="1">
        <f>Tabla1[[#This Row],[cantidad]]*Tabla1[[#This Row],[costo_unitario]]</f>
        <v>1265268</v>
      </c>
      <c r="M713" s="1">
        <f>Tabla1[[#This Row],[venta_total]]-Tabla1[[#This Row],[costo_total]]</f>
        <v>421756</v>
      </c>
      <c r="N713" s="3">
        <f>Tabla1[[#This Row],[margen]]/Tabla1[[#This Row],[venta_total]]</f>
        <v>0.25</v>
      </c>
    </row>
    <row r="714" spans="1:14" x14ac:dyDescent="0.25">
      <c r="A714" s="2">
        <v>45300</v>
      </c>
      <c r="B714" t="s">
        <v>10</v>
      </c>
      <c r="C714" t="s">
        <v>11</v>
      </c>
      <c r="D714" t="s">
        <v>19</v>
      </c>
      <c r="E714" t="s">
        <v>20</v>
      </c>
      <c r="F714" t="s">
        <v>21</v>
      </c>
      <c r="G714">
        <v>2</v>
      </c>
      <c r="H714" s="1">
        <v>331850</v>
      </c>
      <c r="I714" s="1">
        <v>199110</v>
      </c>
      <c r="J714" t="s">
        <v>25</v>
      </c>
      <c r="K714" s="1">
        <f>Tabla1[[#This Row],[cantidad]]*Tabla1[[#This Row],[precio_unitario]]</f>
        <v>663700</v>
      </c>
      <c r="L714" s="1">
        <f>Tabla1[[#This Row],[cantidad]]*Tabla1[[#This Row],[costo_unitario]]</f>
        <v>398220</v>
      </c>
      <c r="M714" s="1">
        <f>Tabla1[[#This Row],[venta_total]]-Tabla1[[#This Row],[costo_total]]</f>
        <v>265480</v>
      </c>
      <c r="N714" s="3">
        <f>Tabla1[[#This Row],[margen]]/Tabla1[[#This Row],[venta_total]]</f>
        <v>0.4</v>
      </c>
    </row>
    <row r="715" spans="1:14" x14ac:dyDescent="0.25">
      <c r="A715" s="2">
        <v>45424</v>
      </c>
      <c r="B715" t="s">
        <v>34</v>
      </c>
      <c r="C715" t="s">
        <v>11</v>
      </c>
      <c r="D715" t="s">
        <v>38</v>
      </c>
      <c r="E715" t="s">
        <v>16</v>
      </c>
      <c r="F715" t="s">
        <v>39</v>
      </c>
      <c r="G715">
        <v>1</v>
      </c>
      <c r="H715" s="1">
        <v>4523748</v>
      </c>
      <c r="I715" s="1">
        <v>3392811</v>
      </c>
      <c r="J715" t="s">
        <v>22</v>
      </c>
      <c r="K715" s="1">
        <f>Tabla1[[#This Row],[cantidad]]*Tabla1[[#This Row],[precio_unitario]]</f>
        <v>4523748</v>
      </c>
      <c r="L715" s="1">
        <f>Tabla1[[#This Row],[cantidad]]*Tabla1[[#This Row],[costo_unitario]]</f>
        <v>3392811</v>
      </c>
      <c r="M715" s="1">
        <f>Tabla1[[#This Row],[venta_total]]-Tabla1[[#This Row],[costo_total]]</f>
        <v>1130937</v>
      </c>
      <c r="N715" s="3">
        <f>Tabla1[[#This Row],[margen]]/Tabla1[[#This Row],[venta_total]]</f>
        <v>0.25</v>
      </c>
    </row>
    <row r="716" spans="1:14" x14ac:dyDescent="0.25">
      <c r="A716" s="2">
        <v>45461</v>
      </c>
      <c r="B716" t="s">
        <v>34</v>
      </c>
      <c r="C716" t="s">
        <v>11</v>
      </c>
      <c r="D716" t="s">
        <v>38</v>
      </c>
      <c r="E716" t="s">
        <v>16</v>
      </c>
      <c r="F716" t="s">
        <v>39</v>
      </c>
      <c r="G716">
        <v>1</v>
      </c>
      <c r="H716" s="1">
        <v>5132694</v>
      </c>
      <c r="I716" s="1">
        <v>3849520</v>
      </c>
      <c r="J716" t="s">
        <v>15</v>
      </c>
      <c r="K716" s="1">
        <f>Tabla1[[#This Row],[cantidad]]*Tabla1[[#This Row],[precio_unitario]]</f>
        <v>5132694</v>
      </c>
      <c r="L716" s="1">
        <f>Tabla1[[#This Row],[cantidad]]*Tabla1[[#This Row],[costo_unitario]]</f>
        <v>3849520</v>
      </c>
      <c r="M716" s="1">
        <f>Tabla1[[#This Row],[venta_total]]-Tabla1[[#This Row],[costo_total]]</f>
        <v>1283174</v>
      </c>
      <c r="N716" s="3">
        <f>Tabla1[[#This Row],[margen]]/Tabla1[[#This Row],[venta_total]]</f>
        <v>0.25000009741472995</v>
      </c>
    </row>
    <row r="717" spans="1:14" x14ac:dyDescent="0.25">
      <c r="A717" s="2">
        <v>45467</v>
      </c>
      <c r="B717" t="s">
        <v>18</v>
      </c>
      <c r="C717" t="s">
        <v>11</v>
      </c>
      <c r="D717" t="s">
        <v>19</v>
      </c>
      <c r="E717" t="s">
        <v>20</v>
      </c>
      <c r="F717" t="s">
        <v>21</v>
      </c>
      <c r="G717">
        <v>1</v>
      </c>
      <c r="H717" s="1">
        <v>270469</v>
      </c>
      <c r="I717" s="1">
        <v>162281</v>
      </c>
      <c r="J717" t="s">
        <v>31</v>
      </c>
      <c r="K717" s="1">
        <f>Tabla1[[#This Row],[cantidad]]*Tabla1[[#This Row],[precio_unitario]]</f>
        <v>270469</v>
      </c>
      <c r="L717" s="1">
        <f>Tabla1[[#This Row],[cantidad]]*Tabla1[[#This Row],[costo_unitario]]</f>
        <v>162281</v>
      </c>
      <c r="M717" s="1">
        <f>Tabla1[[#This Row],[venta_total]]-Tabla1[[#This Row],[costo_total]]</f>
        <v>108188</v>
      </c>
      <c r="N717" s="3">
        <f>Tabla1[[#This Row],[margen]]/Tabla1[[#This Row],[venta_total]]</f>
        <v>0.40000147891255561</v>
      </c>
    </row>
    <row r="718" spans="1:14" x14ac:dyDescent="0.25">
      <c r="A718" s="2">
        <v>45471</v>
      </c>
      <c r="B718" t="s">
        <v>32</v>
      </c>
      <c r="C718" t="s">
        <v>11</v>
      </c>
      <c r="D718" t="s">
        <v>19</v>
      </c>
      <c r="E718" t="s">
        <v>20</v>
      </c>
      <c r="F718" t="s">
        <v>21</v>
      </c>
      <c r="G718">
        <v>3</v>
      </c>
      <c r="H718" s="1">
        <v>194030</v>
      </c>
      <c r="I718" s="1">
        <v>116418</v>
      </c>
      <c r="J718" t="s">
        <v>25</v>
      </c>
      <c r="K718" s="1">
        <f>Tabla1[[#This Row],[cantidad]]*Tabla1[[#This Row],[precio_unitario]]</f>
        <v>582090</v>
      </c>
      <c r="L718" s="1">
        <f>Tabla1[[#This Row],[cantidad]]*Tabla1[[#This Row],[costo_unitario]]</f>
        <v>349254</v>
      </c>
      <c r="M718" s="1">
        <f>Tabla1[[#This Row],[venta_total]]-Tabla1[[#This Row],[costo_total]]</f>
        <v>232836</v>
      </c>
      <c r="N718" s="3">
        <f>Tabla1[[#This Row],[margen]]/Tabla1[[#This Row],[venta_total]]</f>
        <v>0.4</v>
      </c>
    </row>
    <row r="719" spans="1:14" x14ac:dyDescent="0.25">
      <c r="A719" s="2">
        <v>45407</v>
      </c>
      <c r="B719" t="s">
        <v>32</v>
      </c>
      <c r="C719" t="s">
        <v>11</v>
      </c>
      <c r="D719" t="s">
        <v>12</v>
      </c>
      <c r="E719" t="s">
        <v>20</v>
      </c>
      <c r="F719" t="s">
        <v>37</v>
      </c>
      <c r="G719">
        <v>1</v>
      </c>
      <c r="H719" s="1">
        <v>2267551</v>
      </c>
      <c r="I719" s="1">
        <v>1700663</v>
      </c>
      <c r="J719" t="s">
        <v>31</v>
      </c>
      <c r="K719" s="1">
        <f>Tabla1[[#This Row],[cantidad]]*Tabla1[[#This Row],[precio_unitario]]</f>
        <v>2267551</v>
      </c>
      <c r="L719" s="1">
        <f>Tabla1[[#This Row],[cantidad]]*Tabla1[[#This Row],[costo_unitario]]</f>
        <v>1700663</v>
      </c>
      <c r="M719" s="1">
        <f>Tabla1[[#This Row],[venta_total]]-Tabla1[[#This Row],[costo_total]]</f>
        <v>566888</v>
      </c>
      <c r="N719" s="3">
        <f>Tabla1[[#This Row],[margen]]/Tabla1[[#This Row],[venta_total]]</f>
        <v>0.25000011025110352</v>
      </c>
    </row>
    <row r="720" spans="1:14" x14ac:dyDescent="0.25">
      <c r="A720" s="2">
        <v>45405</v>
      </c>
      <c r="B720" t="s">
        <v>32</v>
      </c>
      <c r="C720" t="s">
        <v>11</v>
      </c>
      <c r="D720" t="s">
        <v>19</v>
      </c>
      <c r="E720" t="s">
        <v>20</v>
      </c>
      <c r="F720" t="s">
        <v>21</v>
      </c>
      <c r="G720">
        <v>1</v>
      </c>
      <c r="H720" s="1">
        <v>304019</v>
      </c>
      <c r="I720" s="1">
        <v>182411</v>
      </c>
      <c r="J720" t="s">
        <v>15</v>
      </c>
      <c r="K720" s="1">
        <f>Tabla1[[#This Row],[cantidad]]*Tabla1[[#This Row],[precio_unitario]]</f>
        <v>304019</v>
      </c>
      <c r="L720" s="1">
        <f>Tabla1[[#This Row],[cantidad]]*Tabla1[[#This Row],[costo_unitario]]</f>
        <v>182411</v>
      </c>
      <c r="M720" s="1">
        <f>Tabla1[[#This Row],[venta_total]]-Tabla1[[#This Row],[costo_total]]</f>
        <v>121608</v>
      </c>
      <c r="N720" s="3">
        <f>Tabla1[[#This Row],[margen]]/Tabla1[[#This Row],[venta_total]]</f>
        <v>0.40000131570724196</v>
      </c>
    </row>
    <row r="721" spans="1:14" x14ac:dyDescent="0.25">
      <c r="A721" s="2">
        <v>45397</v>
      </c>
      <c r="B721" t="s">
        <v>18</v>
      </c>
      <c r="C721" t="s">
        <v>11</v>
      </c>
      <c r="D721" t="s">
        <v>19</v>
      </c>
      <c r="E721" t="s">
        <v>16</v>
      </c>
      <c r="F721" t="s">
        <v>35</v>
      </c>
      <c r="G721">
        <v>3</v>
      </c>
      <c r="H721" s="1">
        <v>945267</v>
      </c>
      <c r="I721" s="1">
        <v>614423</v>
      </c>
      <c r="J721" t="s">
        <v>29</v>
      </c>
      <c r="K721" s="1">
        <f>Tabla1[[#This Row],[cantidad]]*Tabla1[[#This Row],[precio_unitario]]</f>
        <v>2835801</v>
      </c>
      <c r="L721" s="1">
        <f>Tabla1[[#This Row],[cantidad]]*Tabla1[[#This Row],[costo_unitario]]</f>
        <v>1843269</v>
      </c>
      <c r="M721" s="1">
        <f>Tabla1[[#This Row],[venta_total]]-Tabla1[[#This Row],[costo_total]]</f>
        <v>992532</v>
      </c>
      <c r="N721" s="3">
        <f>Tabla1[[#This Row],[margen]]/Tabla1[[#This Row],[venta_total]]</f>
        <v>0.35000058184618738</v>
      </c>
    </row>
    <row r="722" spans="1:14" x14ac:dyDescent="0.25">
      <c r="A722" s="2">
        <v>45429</v>
      </c>
      <c r="B722" t="s">
        <v>10</v>
      </c>
      <c r="C722" t="s">
        <v>11</v>
      </c>
      <c r="D722" t="s">
        <v>19</v>
      </c>
      <c r="E722" t="s">
        <v>16</v>
      </c>
      <c r="F722" t="s">
        <v>35</v>
      </c>
      <c r="G722">
        <v>2</v>
      </c>
      <c r="H722" s="1">
        <v>952044</v>
      </c>
      <c r="I722" s="1">
        <v>618828</v>
      </c>
      <c r="J722" t="s">
        <v>25</v>
      </c>
      <c r="K722" s="1">
        <f>Tabla1[[#This Row],[cantidad]]*Tabla1[[#This Row],[precio_unitario]]</f>
        <v>1904088</v>
      </c>
      <c r="L722" s="1">
        <f>Tabla1[[#This Row],[cantidad]]*Tabla1[[#This Row],[costo_unitario]]</f>
        <v>1237656</v>
      </c>
      <c r="M722" s="1">
        <f>Tabla1[[#This Row],[venta_total]]-Tabla1[[#This Row],[costo_total]]</f>
        <v>666432</v>
      </c>
      <c r="N722" s="3">
        <f>Tabla1[[#This Row],[margen]]/Tabla1[[#This Row],[venta_total]]</f>
        <v>0.3500006302229729</v>
      </c>
    </row>
    <row r="723" spans="1:14" x14ac:dyDescent="0.25">
      <c r="A723" s="2">
        <v>45360</v>
      </c>
      <c r="B723" t="s">
        <v>18</v>
      </c>
      <c r="C723" t="s">
        <v>11</v>
      </c>
      <c r="D723" t="s">
        <v>19</v>
      </c>
      <c r="E723" t="s">
        <v>13</v>
      </c>
      <c r="F723" t="s">
        <v>33</v>
      </c>
      <c r="G723">
        <v>1</v>
      </c>
      <c r="H723" s="1">
        <v>1238390</v>
      </c>
      <c r="I723" s="1">
        <v>866873</v>
      </c>
      <c r="J723" t="s">
        <v>22</v>
      </c>
      <c r="K723" s="1">
        <f>Tabla1[[#This Row],[cantidad]]*Tabla1[[#This Row],[precio_unitario]]</f>
        <v>1238390</v>
      </c>
      <c r="L723" s="1">
        <f>Tabla1[[#This Row],[cantidad]]*Tabla1[[#This Row],[costo_unitario]]</f>
        <v>866873</v>
      </c>
      <c r="M723" s="1">
        <f>Tabla1[[#This Row],[venta_total]]-Tabla1[[#This Row],[costo_total]]</f>
        <v>371517</v>
      </c>
      <c r="N723" s="3">
        <f>Tabla1[[#This Row],[margen]]/Tabla1[[#This Row],[venta_total]]</f>
        <v>0.3</v>
      </c>
    </row>
    <row r="724" spans="1:14" x14ac:dyDescent="0.25">
      <c r="A724" s="2">
        <v>45465</v>
      </c>
      <c r="B724" t="s">
        <v>32</v>
      </c>
      <c r="C724" t="s">
        <v>11</v>
      </c>
      <c r="D724" t="s">
        <v>26</v>
      </c>
      <c r="E724" t="s">
        <v>13</v>
      </c>
      <c r="F724" t="s">
        <v>27</v>
      </c>
      <c r="G724">
        <v>1</v>
      </c>
      <c r="H724" s="1">
        <v>9089290</v>
      </c>
      <c r="I724" s="1">
        <v>7271432</v>
      </c>
      <c r="J724" t="s">
        <v>25</v>
      </c>
      <c r="K724" s="1">
        <f>Tabla1[[#This Row],[cantidad]]*Tabla1[[#This Row],[precio_unitario]]</f>
        <v>9089290</v>
      </c>
      <c r="L724" s="1">
        <f>Tabla1[[#This Row],[cantidad]]*Tabla1[[#This Row],[costo_unitario]]</f>
        <v>7271432</v>
      </c>
      <c r="M724" s="1">
        <f>Tabla1[[#This Row],[venta_total]]-Tabla1[[#This Row],[costo_total]]</f>
        <v>1817858</v>
      </c>
      <c r="N724" s="3">
        <f>Tabla1[[#This Row],[margen]]/Tabla1[[#This Row],[venta_total]]</f>
        <v>0.2</v>
      </c>
    </row>
    <row r="725" spans="1:14" x14ac:dyDescent="0.25">
      <c r="A725" s="2">
        <v>45335</v>
      </c>
      <c r="B725" t="s">
        <v>34</v>
      </c>
      <c r="C725" t="s">
        <v>11</v>
      </c>
      <c r="D725" t="s">
        <v>19</v>
      </c>
      <c r="E725" t="s">
        <v>13</v>
      </c>
      <c r="F725" t="s">
        <v>33</v>
      </c>
      <c r="G725">
        <v>1</v>
      </c>
      <c r="H725" s="1">
        <v>1453400</v>
      </c>
      <c r="I725" s="1">
        <v>1017379</v>
      </c>
      <c r="J725" t="s">
        <v>15</v>
      </c>
      <c r="K725" s="1">
        <f>Tabla1[[#This Row],[cantidad]]*Tabla1[[#This Row],[precio_unitario]]</f>
        <v>1453400</v>
      </c>
      <c r="L725" s="1">
        <f>Tabla1[[#This Row],[cantidad]]*Tabla1[[#This Row],[costo_unitario]]</f>
        <v>1017379</v>
      </c>
      <c r="M725" s="1">
        <f>Tabla1[[#This Row],[venta_total]]-Tabla1[[#This Row],[costo_total]]</f>
        <v>436021</v>
      </c>
      <c r="N725" s="3">
        <f>Tabla1[[#This Row],[margen]]/Tabla1[[#This Row],[venta_total]]</f>
        <v>0.30000068804183294</v>
      </c>
    </row>
    <row r="726" spans="1:14" x14ac:dyDescent="0.25">
      <c r="A726" s="2">
        <v>45375</v>
      </c>
      <c r="B726" t="s">
        <v>32</v>
      </c>
      <c r="C726" t="s">
        <v>11</v>
      </c>
      <c r="D726" t="s">
        <v>12</v>
      </c>
      <c r="E726" t="s">
        <v>13</v>
      </c>
      <c r="F726" t="s">
        <v>14</v>
      </c>
      <c r="G726">
        <v>1</v>
      </c>
      <c r="H726" s="1">
        <v>4601847</v>
      </c>
      <c r="I726" s="1">
        <v>3681477</v>
      </c>
      <c r="J726" t="s">
        <v>15</v>
      </c>
      <c r="K726" s="1">
        <f>Tabla1[[#This Row],[cantidad]]*Tabla1[[#This Row],[precio_unitario]]</f>
        <v>4601847</v>
      </c>
      <c r="L726" s="1">
        <f>Tabla1[[#This Row],[cantidad]]*Tabla1[[#This Row],[costo_unitario]]</f>
        <v>3681477</v>
      </c>
      <c r="M726" s="1">
        <f>Tabla1[[#This Row],[venta_total]]-Tabla1[[#This Row],[costo_total]]</f>
        <v>920370</v>
      </c>
      <c r="N726" s="3">
        <f>Tabla1[[#This Row],[margen]]/Tabla1[[#This Row],[venta_total]]</f>
        <v>0.20000013038243122</v>
      </c>
    </row>
    <row r="727" spans="1:14" x14ac:dyDescent="0.25">
      <c r="A727" s="2">
        <v>45456</v>
      </c>
      <c r="B727" t="s">
        <v>18</v>
      </c>
      <c r="C727" t="s">
        <v>11</v>
      </c>
      <c r="D727" t="s">
        <v>12</v>
      </c>
      <c r="E727" t="s">
        <v>16</v>
      </c>
      <c r="F727" t="s">
        <v>17</v>
      </c>
      <c r="G727">
        <v>1</v>
      </c>
      <c r="H727" s="1">
        <v>3754142</v>
      </c>
      <c r="I727" s="1">
        <v>2928230</v>
      </c>
      <c r="J727" t="s">
        <v>25</v>
      </c>
      <c r="K727" s="1">
        <f>Tabla1[[#This Row],[cantidad]]*Tabla1[[#This Row],[precio_unitario]]</f>
        <v>3754142</v>
      </c>
      <c r="L727" s="1">
        <f>Tabla1[[#This Row],[cantidad]]*Tabla1[[#This Row],[costo_unitario]]</f>
        <v>2928230</v>
      </c>
      <c r="M727" s="1">
        <f>Tabla1[[#This Row],[venta_total]]-Tabla1[[#This Row],[costo_total]]</f>
        <v>825912</v>
      </c>
      <c r="N727" s="3">
        <f>Tabla1[[#This Row],[margen]]/Tabla1[[#This Row],[venta_total]]</f>
        <v>0.22000020244306157</v>
      </c>
    </row>
    <row r="728" spans="1:14" x14ac:dyDescent="0.25">
      <c r="A728" s="2">
        <v>45340</v>
      </c>
      <c r="B728" t="s">
        <v>32</v>
      </c>
      <c r="C728" t="s">
        <v>11</v>
      </c>
      <c r="D728" t="s">
        <v>19</v>
      </c>
      <c r="E728" t="s">
        <v>13</v>
      </c>
      <c r="F728" t="s">
        <v>33</v>
      </c>
      <c r="G728">
        <v>3</v>
      </c>
      <c r="H728" s="1">
        <v>1472913</v>
      </c>
      <c r="I728" s="1">
        <v>1031039</v>
      </c>
      <c r="J728" t="s">
        <v>31</v>
      </c>
      <c r="K728" s="1">
        <f>Tabla1[[#This Row],[cantidad]]*Tabla1[[#This Row],[precio_unitario]]</f>
        <v>4418739</v>
      </c>
      <c r="L728" s="1">
        <f>Tabla1[[#This Row],[cantidad]]*Tabla1[[#This Row],[costo_unitario]]</f>
        <v>3093117</v>
      </c>
      <c r="M728" s="1">
        <f>Tabla1[[#This Row],[venta_total]]-Tabla1[[#This Row],[costo_total]]</f>
        <v>1325622</v>
      </c>
      <c r="N728" s="3">
        <f>Tabla1[[#This Row],[margen]]/Tabla1[[#This Row],[venta_total]]</f>
        <v>0.30000006789267253</v>
      </c>
    </row>
    <row r="729" spans="1:14" x14ac:dyDescent="0.25">
      <c r="A729" s="2">
        <v>45442</v>
      </c>
      <c r="B729" t="s">
        <v>10</v>
      </c>
      <c r="C729" t="s">
        <v>11</v>
      </c>
      <c r="D729" t="s">
        <v>12</v>
      </c>
      <c r="E729" t="s">
        <v>16</v>
      </c>
      <c r="F729" t="s">
        <v>17</v>
      </c>
      <c r="G729">
        <v>1</v>
      </c>
      <c r="H729" s="1">
        <v>3840493</v>
      </c>
      <c r="I729" s="1">
        <v>2995584</v>
      </c>
      <c r="J729" t="s">
        <v>15</v>
      </c>
      <c r="K729" s="1">
        <f>Tabla1[[#This Row],[cantidad]]*Tabla1[[#This Row],[precio_unitario]]</f>
        <v>3840493</v>
      </c>
      <c r="L729" s="1">
        <f>Tabla1[[#This Row],[cantidad]]*Tabla1[[#This Row],[costo_unitario]]</f>
        <v>2995584</v>
      </c>
      <c r="M729" s="1">
        <f>Tabla1[[#This Row],[venta_total]]-Tabla1[[#This Row],[costo_total]]</f>
        <v>844909</v>
      </c>
      <c r="N729" s="3">
        <f>Tabla1[[#This Row],[margen]]/Tabla1[[#This Row],[venta_total]]</f>
        <v>0.22000014060694811</v>
      </c>
    </row>
    <row r="730" spans="1:14" x14ac:dyDescent="0.25">
      <c r="A730" s="2">
        <v>45370</v>
      </c>
      <c r="B730" t="s">
        <v>32</v>
      </c>
      <c r="C730" t="s">
        <v>11</v>
      </c>
      <c r="D730" t="s">
        <v>23</v>
      </c>
      <c r="E730" t="s">
        <v>13</v>
      </c>
      <c r="F730" t="s">
        <v>28</v>
      </c>
      <c r="G730">
        <v>1</v>
      </c>
      <c r="H730" s="1">
        <v>3080831</v>
      </c>
      <c r="I730" s="1">
        <v>2464664</v>
      </c>
      <c r="J730" t="s">
        <v>31</v>
      </c>
      <c r="K730" s="1">
        <f>Tabla1[[#This Row],[cantidad]]*Tabla1[[#This Row],[precio_unitario]]</f>
        <v>3080831</v>
      </c>
      <c r="L730" s="1">
        <f>Tabla1[[#This Row],[cantidad]]*Tabla1[[#This Row],[costo_unitario]]</f>
        <v>2464664</v>
      </c>
      <c r="M730" s="1">
        <f>Tabla1[[#This Row],[venta_total]]-Tabla1[[#This Row],[costo_total]]</f>
        <v>616167</v>
      </c>
      <c r="N730" s="3">
        <f>Tabla1[[#This Row],[margen]]/Tabla1[[#This Row],[venta_total]]</f>
        <v>0.20000025967019938</v>
      </c>
    </row>
    <row r="731" spans="1:14" x14ac:dyDescent="0.25">
      <c r="A731" s="2">
        <v>45377</v>
      </c>
      <c r="B731" t="s">
        <v>18</v>
      </c>
      <c r="C731" t="s">
        <v>11</v>
      </c>
      <c r="D731" t="s">
        <v>12</v>
      </c>
      <c r="E731" t="s">
        <v>13</v>
      </c>
      <c r="F731" t="s">
        <v>14</v>
      </c>
      <c r="G731">
        <v>1</v>
      </c>
      <c r="H731" s="1">
        <v>4941906</v>
      </c>
      <c r="I731" s="1">
        <v>3953524</v>
      </c>
      <c r="J731" t="s">
        <v>31</v>
      </c>
      <c r="K731" s="1">
        <f>Tabla1[[#This Row],[cantidad]]*Tabla1[[#This Row],[precio_unitario]]</f>
        <v>4941906</v>
      </c>
      <c r="L731" s="1">
        <f>Tabla1[[#This Row],[cantidad]]*Tabla1[[#This Row],[costo_unitario]]</f>
        <v>3953524</v>
      </c>
      <c r="M731" s="1">
        <f>Tabla1[[#This Row],[venta_total]]-Tabla1[[#This Row],[costo_total]]</f>
        <v>988382</v>
      </c>
      <c r="N731" s="3">
        <f>Tabla1[[#This Row],[margen]]/Tabla1[[#This Row],[venta_total]]</f>
        <v>0.20000016188086137</v>
      </c>
    </row>
    <row r="732" spans="1:14" x14ac:dyDescent="0.25">
      <c r="A732" s="2">
        <v>45400</v>
      </c>
      <c r="B732" t="s">
        <v>34</v>
      </c>
      <c r="C732" t="s">
        <v>11</v>
      </c>
      <c r="D732" t="s">
        <v>12</v>
      </c>
      <c r="E732" t="s">
        <v>20</v>
      </c>
      <c r="F732" t="s">
        <v>37</v>
      </c>
      <c r="G732">
        <v>1</v>
      </c>
      <c r="H732" s="1">
        <v>1739387</v>
      </c>
      <c r="I732" s="1">
        <v>1304540</v>
      </c>
      <c r="J732" t="s">
        <v>31</v>
      </c>
      <c r="K732" s="1">
        <f>Tabla1[[#This Row],[cantidad]]*Tabla1[[#This Row],[precio_unitario]]</f>
        <v>1739387</v>
      </c>
      <c r="L732" s="1">
        <f>Tabla1[[#This Row],[cantidad]]*Tabla1[[#This Row],[costo_unitario]]</f>
        <v>1304540</v>
      </c>
      <c r="M732" s="1">
        <f>Tabla1[[#This Row],[venta_total]]-Tabla1[[#This Row],[costo_total]]</f>
        <v>434847</v>
      </c>
      <c r="N732" s="3">
        <f>Tabla1[[#This Row],[margen]]/Tabla1[[#This Row],[venta_total]]</f>
        <v>0.25000014372879642</v>
      </c>
    </row>
    <row r="733" spans="1:14" x14ac:dyDescent="0.25">
      <c r="A733" s="2">
        <v>45374</v>
      </c>
      <c r="B733" t="s">
        <v>10</v>
      </c>
      <c r="C733" t="s">
        <v>11</v>
      </c>
      <c r="D733" t="s">
        <v>38</v>
      </c>
      <c r="E733" t="s">
        <v>20</v>
      </c>
      <c r="F733" t="s">
        <v>42</v>
      </c>
      <c r="G733">
        <v>1</v>
      </c>
      <c r="H733" s="1">
        <v>3274134</v>
      </c>
      <c r="I733" s="1">
        <v>2357376</v>
      </c>
      <c r="J733" t="s">
        <v>31</v>
      </c>
      <c r="K733" s="1">
        <f>Tabla1[[#This Row],[cantidad]]*Tabla1[[#This Row],[precio_unitario]]</f>
        <v>3274134</v>
      </c>
      <c r="L733" s="1">
        <f>Tabla1[[#This Row],[cantidad]]*Tabla1[[#This Row],[costo_unitario]]</f>
        <v>2357376</v>
      </c>
      <c r="M733" s="1">
        <f>Tabla1[[#This Row],[venta_total]]-Tabla1[[#This Row],[costo_total]]</f>
        <v>916758</v>
      </c>
      <c r="N733" s="3">
        <f>Tabla1[[#This Row],[margen]]/Tabla1[[#This Row],[venta_total]]</f>
        <v>0.28000014660365152</v>
      </c>
    </row>
    <row r="734" spans="1:14" x14ac:dyDescent="0.25">
      <c r="A734" s="2">
        <v>45357</v>
      </c>
      <c r="B734" t="s">
        <v>10</v>
      </c>
      <c r="C734" t="s">
        <v>11</v>
      </c>
      <c r="D734" t="s">
        <v>38</v>
      </c>
      <c r="E734" t="s">
        <v>16</v>
      </c>
      <c r="F734" t="s">
        <v>39</v>
      </c>
      <c r="G734">
        <v>1</v>
      </c>
      <c r="H734" s="1">
        <v>3902310</v>
      </c>
      <c r="I734" s="1">
        <v>2926732</v>
      </c>
      <c r="J734" t="s">
        <v>25</v>
      </c>
      <c r="K734" s="1">
        <f>Tabla1[[#This Row],[cantidad]]*Tabla1[[#This Row],[precio_unitario]]</f>
        <v>3902310</v>
      </c>
      <c r="L734" s="1">
        <f>Tabla1[[#This Row],[cantidad]]*Tabla1[[#This Row],[costo_unitario]]</f>
        <v>2926732</v>
      </c>
      <c r="M734" s="1">
        <f>Tabla1[[#This Row],[venta_total]]-Tabla1[[#This Row],[costo_total]]</f>
        <v>975578</v>
      </c>
      <c r="N734" s="3">
        <f>Tabla1[[#This Row],[margen]]/Tabla1[[#This Row],[venta_total]]</f>
        <v>0.25000012812923628</v>
      </c>
    </row>
    <row r="735" spans="1:14" x14ac:dyDescent="0.25">
      <c r="A735" s="2">
        <v>45324</v>
      </c>
      <c r="B735" t="s">
        <v>34</v>
      </c>
      <c r="C735" t="s">
        <v>11</v>
      </c>
      <c r="D735" t="s">
        <v>12</v>
      </c>
      <c r="E735" t="s">
        <v>20</v>
      </c>
      <c r="F735" t="s">
        <v>37</v>
      </c>
      <c r="G735">
        <v>1</v>
      </c>
      <c r="H735" s="1">
        <v>2018990</v>
      </c>
      <c r="I735" s="1">
        <v>1514242</v>
      </c>
      <c r="J735" t="s">
        <v>31</v>
      </c>
      <c r="K735" s="1">
        <f>Tabla1[[#This Row],[cantidad]]*Tabla1[[#This Row],[precio_unitario]]</f>
        <v>2018990</v>
      </c>
      <c r="L735" s="1">
        <f>Tabla1[[#This Row],[cantidad]]*Tabla1[[#This Row],[costo_unitario]]</f>
        <v>1514242</v>
      </c>
      <c r="M735" s="1">
        <f>Tabla1[[#This Row],[venta_total]]-Tabla1[[#This Row],[costo_total]]</f>
        <v>504748</v>
      </c>
      <c r="N735" s="3">
        <f>Tabla1[[#This Row],[margen]]/Tabla1[[#This Row],[venta_total]]</f>
        <v>0.25000024764857676</v>
      </c>
    </row>
    <row r="736" spans="1:14" x14ac:dyDescent="0.25">
      <c r="A736" s="2">
        <v>45375</v>
      </c>
      <c r="B736" t="s">
        <v>32</v>
      </c>
      <c r="C736" t="s">
        <v>11</v>
      </c>
      <c r="D736" t="s">
        <v>12</v>
      </c>
      <c r="E736" t="s">
        <v>20</v>
      </c>
      <c r="F736" t="s">
        <v>37</v>
      </c>
      <c r="G736">
        <v>1</v>
      </c>
      <c r="H736" s="1">
        <v>2081532</v>
      </c>
      <c r="I736" s="1">
        <v>1561149</v>
      </c>
      <c r="J736" t="s">
        <v>22</v>
      </c>
      <c r="K736" s="1">
        <f>Tabla1[[#This Row],[cantidad]]*Tabla1[[#This Row],[precio_unitario]]</f>
        <v>2081532</v>
      </c>
      <c r="L736" s="1">
        <f>Tabla1[[#This Row],[cantidad]]*Tabla1[[#This Row],[costo_unitario]]</f>
        <v>1561149</v>
      </c>
      <c r="M736" s="1">
        <f>Tabla1[[#This Row],[venta_total]]-Tabla1[[#This Row],[costo_total]]</f>
        <v>520383</v>
      </c>
      <c r="N736" s="3">
        <f>Tabla1[[#This Row],[margen]]/Tabla1[[#This Row],[venta_total]]</f>
        <v>0.25</v>
      </c>
    </row>
    <row r="737" spans="1:14" x14ac:dyDescent="0.25">
      <c r="A737" s="2">
        <v>45301</v>
      </c>
      <c r="B737" t="s">
        <v>18</v>
      </c>
      <c r="C737" t="s">
        <v>11</v>
      </c>
      <c r="D737" t="s">
        <v>26</v>
      </c>
      <c r="E737" t="s">
        <v>20</v>
      </c>
      <c r="F737" t="s">
        <v>36</v>
      </c>
      <c r="G737">
        <v>1</v>
      </c>
      <c r="H737" s="1">
        <v>2449565</v>
      </c>
      <c r="I737" s="1">
        <v>1837173</v>
      </c>
      <c r="J737" t="s">
        <v>25</v>
      </c>
      <c r="K737" s="1">
        <f>Tabla1[[#This Row],[cantidad]]*Tabla1[[#This Row],[precio_unitario]]</f>
        <v>2449565</v>
      </c>
      <c r="L737" s="1">
        <f>Tabla1[[#This Row],[cantidad]]*Tabla1[[#This Row],[costo_unitario]]</f>
        <v>1837173</v>
      </c>
      <c r="M737" s="1">
        <f>Tabla1[[#This Row],[venta_total]]-Tabla1[[#This Row],[costo_total]]</f>
        <v>612392</v>
      </c>
      <c r="N737" s="3">
        <f>Tabla1[[#This Row],[margen]]/Tabla1[[#This Row],[venta_total]]</f>
        <v>0.25000030617681096</v>
      </c>
    </row>
    <row r="738" spans="1:14" x14ac:dyDescent="0.25">
      <c r="A738" s="2">
        <v>45386</v>
      </c>
      <c r="B738" t="s">
        <v>32</v>
      </c>
      <c r="C738" t="s">
        <v>11</v>
      </c>
      <c r="D738" t="s">
        <v>12</v>
      </c>
      <c r="E738" t="s">
        <v>20</v>
      </c>
      <c r="F738" t="s">
        <v>37</v>
      </c>
      <c r="G738">
        <v>1</v>
      </c>
      <c r="H738" s="1">
        <v>1804416</v>
      </c>
      <c r="I738" s="1">
        <v>1353312</v>
      </c>
      <c r="J738" t="s">
        <v>15</v>
      </c>
      <c r="K738" s="1">
        <f>Tabla1[[#This Row],[cantidad]]*Tabla1[[#This Row],[precio_unitario]]</f>
        <v>1804416</v>
      </c>
      <c r="L738" s="1">
        <f>Tabla1[[#This Row],[cantidad]]*Tabla1[[#This Row],[costo_unitario]]</f>
        <v>1353312</v>
      </c>
      <c r="M738" s="1">
        <f>Tabla1[[#This Row],[venta_total]]-Tabla1[[#This Row],[costo_total]]</f>
        <v>451104</v>
      </c>
      <c r="N738" s="3">
        <f>Tabla1[[#This Row],[margen]]/Tabla1[[#This Row],[venta_total]]</f>
        <v>0.25</v>
      </c>
    </row>
    <row r="739" spans="1:14" x14ac:dyDescent="0.25">
      <c r="A739" s="2">
        <v>45383</v>
      </c>
      <c r="B739" t="s">
        <v>10</v>
      </c>
      <c r="C739" t="s">
        <v>11</v>
      </c>
      <c r="D739" t="s">
        <v>23</v>
      </c>
      <c r="E739" t="s">
        <v>20</v>
      </c>
      <c r="F739" t="s">
        <v>30</v>
      </c>
      <c r="G739">
        <v>1</v>
      </c>
      <c r="H739" s="1">
        <v>812045</v>
      </c>
      <c r="I739" s="1">
        <v>568431</v>
      </c>
      <c r="J739" t="s">
        <v>22</v>
      </c>
      <c r="K739" s="1">
        <f>Tabla1[[#This Row],[cantidad]]*Tabla1[[#This Row],[precio_unitario]]</f>
        <v>812045</v>
      </c>
      <c r="L739" s="1">
        <f>Tabla1[[#This Row],[cantidad]]*Tabla1[[#This Row],[costo_unitario]]</f>
        <v>568431</v>
      </c>
      <c r="M739" s="1">
        <f>Tabla1[[#This Row],[venta_total]]-Tabla1[[#This Row],[costo_total]]</f>
        <v>243614</v>
      </c>
      <c r="N739" s="3">
        <f>Tabla1[[#This Row],[margen]]/Tabla1[[#This Row],[venta_total]]</f>
        <v>0.30000061572942388</v>
      </c>
    </row>
    <row r="740" spans="1:14" x14ac:dyDescent="0.25">
      <c r="A740" s="2">
        <v>45382</v>
      </c>
      <c r="B740" t="s">
        <v>32</v>
      </c>
      <c r="C740" t="s">
        <v>11</v>
      </c>
      <c r="D740" t="s">
        <v>23</v>
      </c>
      <c r="E740" t="s">
        <v>13</v>
      </c>
      <c r="F740" t="s">
        <v>28</v>
      </c>
      <c r="G740">
        <v>1</v>
      </c>
      <c r="H740" s="1">
        <v>3457546</v>
      </c>
      <c r="I740" s="1">
        <v>2766036</v>
      </c>
      <c r="J740" t="s">
        <v>15</v>
      </c>
      <c r="K740" s="1">
        <f>Tabla1[[#This Row],[cantidad]]*Tabla1[[#This Row],[precio_unitario]]</f>
        <v>3457546</v>
      </c>
      <c r="L740" s="1">
        <f>Tabla1[[#This Row],[cantidad]]*Tabla1[[#This Row],[costo_unitario]]</f>
        <v>2766036</v>
      </c>
      <c r="M740" s="1">
        <f>Tabla1[[#This Row],[venta_total]]-Tabla1[[#This Row],[costo_total]]</f>
        <v>691510</v>
      </c>
      <c r="N740" s="3">
        <f>Tabla1[[#This Row],[margen]]/Tabla1[[#This Row],[venta_total]]</f>
        <v>0.20000023137797732</v>
      </c>
    </row>
    <row r="741" spans="1:14" x14ac:dyDescent="0.25">
      <c r="A741" s="2">
        <v>45337</v>
      </c>
      <c r="B741" t="s">
        <v>32</v>
      </c>
      <c r="C741" t="s">
        <v>11</v>
      </c>
      <c r="D741" t="s">
        <v>38</v>
      </c>
      <c r="E741" t="s">
        <v>13</v>
      </c>
      <c r="F741" t="s">
        <v>41</v>
      </c>
      <c r="G741">
        <v>1</v>
      </c>
      <c r="H741" s="1">
        <v>8001473</v>
      </c>
      <c r="I741" s="1">
        <v>6401178</v>
      </c>
      <c r="J741" t="s">
        <v>15</v>
      </c>
      <c r="K741" s="1">
        <f>Tabla1[[#This Row],[cantidad]]*Tabla1[[#This Row],[precio_unitario]]</f>
        <v>8001473</v>
      </c>
      <c r="L741" s="1">
        <f>Tabla1[[#This Row],[cantidad]]*Tabla1[[#This Row],[costo_unitario]]</f>
        <v>6401178</v>
      </c>
      <c r="M741" s="1">
        <f>Tabla1[[#This Row],[venta_total]]-Tabla1[[#This Row],[costo_total]]</f>
        <v>1600295</v>
      </c>
      <c r="N741" s="3">
        <f>Tabla1[[#This Row],[margen]]/Tabla1[[#This Row],[venta_total]]</f>
        <v>0.20000004999079543</v>
      </c>
    </row>
    <row r="742" spans="1:14" x14ac:dyDescent="0.25">
      <c r="A742" s="2">
        <v>45336</v>
      </c>
      <c r="B742" t="s">
        <v>34</v>
      </c>
      <c r="C742" t="s">
        <v>11</v>
      </c>
      <c r="D742" t="s">
        <v>23</v>
      </c>
      <c r="E742" t="s">
        <v>16</v>
      </c>
      <c r="F742" t="s">
        <v>24</v>
      </c>
      <c r="G742">
        <v>1</v>
      </c>
      <c r="H742" s="1">
        <v>1436801</v>
      </c>
      <c r="I742" s="1">
        <v>1077600</v>
      </c>
      <c r="J742" t="s">
        <v>25</v>
      </c>
      <c r="K742" s="1">
        <f>Tabla1[[#This Row],[cantidad]]*Tabla1[[#This Row],[precio_unitario]]</f>
        <v>1436801</v>
      </c>
      <c r="L742" s="1">
        <f>Tabla1[[#This Row],[cantidad]]*Tabla1[[#This Row],[costo_unitario]]</f>
        <v>1077600</v>
      </c>
      <c r="M742" s="1">
        <f>Tabla1[[#This Row],[venta_total]]-Tabla1[[#This Row],[costo_total]]</f>
        <v>359201</v>
      </c>
      <c r="N742" s="3">
        <f>Tabla1[[#This Row],[margen]]/Tabla1[[#This Row],[venta_total]]</f>
        <v>0.25000052199295519</v>
      </c>
    </row>
    <row r="743" spans="1:14" x14ac:dyDescent="0.25">
      <c r="A743" s="2">
        <v>45450</v>
      </c>
      <c r="B743" t="s">
        <v>10</v>
      </c>
      <c r="C743" t="s">
        <v>11</v>
      </c>
      <c r="D743" t="s">
        <v>38</v>
      </c>
      <c r="E743" t="s">
        <v>20</v>
      </c>
      <c r="F743" t="s">
        <v>42</v>
      </c>
      <c r="G743">
        <v>1</v>
      </c>
      <c r="H743" s="1">
        <v>2145643</v>
      </c>
      <c r="I743" s="1">
        <v>1544862</v>
      </c>
      <c r="J743" t="s">
        <v>31</v>
      </c>
      <c r="K743" s="1">
        <f>Tabla1[[#This Row],[cantidad]]*Tabla1[[#This Row],[precio_unitario]]</f>
        <v>2145643</v>
      </c>
      <c r="L743" s="1">
        <f>Tabla1[[#This Row],[cantidad]]*Tabla1[[#This Row],[costo_unitario]]</f>
        <v>1544862</v>
      </c>
      <c r="M743" s="1">
        <f>Tabla1[[#This Row],[venta_total]]-Tabla1[[#This Row],[costo_total]]</f>
        <v>600781</v>
      </c>
      <c r="N743" s="3">
        <f>Tabla1[[#This Row],[margen]]/Tabla1[[#This Row],[venta_total]]</f>
        <v>0.28000044741832636</v>
      </c>
    </row>
    <row r="744" spans="1:14" x14ac:dyDescent="0.25">
      <c r="A744" s="2">
        <v>45367</v>
      </c>
      <c r="B744" t="s">
        <v>18</v>
      </c>
      <c r="C744" t="s">
        <v>11</v>
      </c>
      <c r="D744" t="s">
        <v>23</v>
      </c>
      <c r="E744" t="s">
        <v>13</v>
      </c>
      <c r="F744" t="s">
        <v>28</v>
      </c>
      <c r="G744">
        <v>1</v>
      </c>
      <c r="H744" s="1">
        <v>3378754</v>
      </c>
      <c r="I744" s="1">
        <v>2703003</v>
      </c>
      <c r="J744" t="s">
        <v>31</v>
      </c>
      <c r="K744" s="1">
        <f>Tabla1[[#This Row],[cantidad]]*Tabla1[[#This Row],[precio_unitario]]</f>
        <v>3378754</v>
      </c>
      <c r="L744" s="1">
        <f>Tabla1[[#This Row],[cantidad]]*Tabla1[[#This Row],[costo_unitario]]</f>
        <v>2703003</v>
      </c>
      <c r="M744" s="1">
        <f>Tabla1[[#This Row],[venta_total]]-Tabla1[[#This Row],[costo_total]]</f>
        <v>675751</v>
      </c>
      <c r="N744" s="3">
        <f>Tabla1[[#This Row],[margen]]/Tabla1[[#This Row],[venta_total]]</f>
        <v>0.20000005919341865</v>
      </c>
    </row>
    <row r="745" spans="1:14" x14ac:dyDescent="0.25">
      <c r="A745" s="2">
        <v>45349</v>
      </c>
      <c r="B745" t="s">
        <v>32</v>
      </c>
      <c r="C745" t="s">
        <v>11</v>
      </c>
      <c r="D745" t="s">
        <v>26</v>
      </c>
      <c r="E745" t="s">
        <v>13</v>
      </c>
      <c r="F745" t="s">
        <v>27</v>
      </c>
      <c r="G745">
        <v>1</v>
      </c>
      <c r="H745" s="1">
        <v>7990252</v>
      </c>
      <c r="I745" s="1">
        <v>6392201</v>
      </c>
      <c r="J745" t="s">
        <v>22</v>
      </c>
      <c r="K745" s="1">
        <f>Tabla1[[#This Row],[cantidad]]*Tabla1[[#This Row],[precio_unitario]]</f>
        <v>7990252</v>
      </c>
      <c r="L745" s="1">
        <f>Tabla1[[#This Row],[cantidad]]*Tabla1[[#This Row],[costo_unitario]]</f>
        <v>6392201</v>
      </c>
      <c r="M745" s="1">
        <f>Tabla1[[#This Row],[venta_total]]-Tabla1[[#This Row],[costo_total]]</f>
        <v>1598051</v>
      </c>
      <c r="N745" s="3">
        <f>Tabla1[[#This Row],[margen]]/Tabla1[[#This Row],[venta_total]]</f>
        <v>0.200000075091499</v>
      </c>
    </row>
    <row r="746" spans="1:14" x14ac:dyDescent="0.25">
      <c r="A746" s="2">
        <v>45464</v>
      </c>
      <c r="B746" t="s">
        <v>10</v>
      </c>
      <c r="C746" t="s">
        <v>11</v>
      </c>
      <c r="D746" t="s">
        <v>26</v>
      </c>
      <c r="E746" t="s">
        <v>20</v>
      </c>
      <c r="F746" t="s">
        <v>36</v>
      </c>
      <c r="G746">
        <v>1</v>
      </c>
      <c r="H746" s="1">
        <v>2177586</v>
      </c>
      <c r="I746" s="1">
        <v>1633189</v>
      </c>
      <c r="J746" t="s">
        <v>25</v>
      </c>
      <c r="K746" s="1">
        <f>Tabla1[[#This Row],[cantidad]]*Tabla1[[#This Row],[precio_unitario]]</f>
        <v>2177586</v>
      </c>
      <c r="L746" s="1">
        <f>Tabla1[[#This Row],[cantidad]]*Tabla1[[#This Row],[costo_unitario]]</f>
        <v>1633189</v>
      </c>
      <c r="M746" s="1">
        <f>Tabla1[[#This Row],[venta_total]]-Tabla1[[#This Row],[costo_total]]</f>
        <v>544397</v>
      </c>
      <c r="N746" s="3">
        <f>Tabla1[[#This Row],[margen]]/Tabla1[[#This Row],[venta_total]]</f>
        <v>0.25000022961205665</v>
      </c>
    </row>
    <row r="747" spans="1:14" x14ac:dyDescent="0.25">
      <c r="A747" s="2">
        <v>45302</v>
      </c>
      <c r="B747" t="s">
        <v>32</v>
      </c>
      <c r="C747" t="s">
        <v>11</v>
      </c>
      <c r="D747" t="s">
        <v>38</v>
      </c>
      <c r="E747" t="s">
        <v>20</v>
      </c>
      <c r="F747" t="s">
        <v>42</v>
      </c>
      <c r="G747">
        <v>1</v>
      </c>
      <c r="H747" s="1">
        <v>2680100</v>
      </c>
      <c r="I747" s="1">
        <v>1929672</v>
      </c>
      <c r="J747" t="s">
        <v>25</v>
      </c>
      <c r="K747" s="1">
        <f>Tabla1[[#This Row],[cantidad]]*Tabla1[[#This Row],[precio_unitario]]</f>
        <v>2680100</v>
      </c>
      <c r="L747" s="1">
        <f>Tabla1[[#This Row],[cantidad]]*Tabla1[[#This Row],[costo_unitario]]</f>
        <v>1929672</v>
      </c>
      <c r="M747" s="1">
        <f>Tabla1[[#This Row],[venta_total]]-Tabla1[[#This Row],[costo_total]]</f>
        <v>750428</v>
      </c>
      <c r="N747" s="3">
        <f>Tabla1[[#This Row],[margen]]/Tabla1[[#This Row],[venta_total]]</f>
        <v>0.28000000000000003</v>
      </c>
    </row>
    <row r="748" spans="1:14" x14ac:dyDescent="0.25">
      <c r="A748" s="2">
        <v>45293</v>
      </c>
      <c r="B748" t="s">
        <v>32</v>
      </c>
      <c r="C748" t="s">
        <v>11</v>
      </c>
      <c r="D748" t="s">
        <v>23</v>
      </c>
      <c r="E748" t="s">
        <v>16</v>
      </c>
      <c r="F748" t="s">
        <v>24</v>
      </c>
      <c r="G748">
        <v>1</v>
      </c>
      <c r="H748" s="1">
        <v>1389779</v>
      </c>
      <c r="I748" s="1">
        <v>1042334</v>
      </c>
      <c r="J748" t="s">
        <v>22</v>
      </c>
      <c r="K748" s="1">
        <f>Tabla1[[#This Row],[cantidad]]*Tabla1[[#This Row],[precio_unitario]]</f>
        <v>1389779</v>
      </c>
      <c r="L748" s="1">
        <f>Tabla1[[#This Row],[cantidad]]*Tabla1[[#This Row],[costo_unitario]]</f>
        <v>1042334</v>
      </c>
      <c r="M748" s="1">
        <f>Tabla1[[#This Row],[venta_total]]-Tabla1[[#This Row],[costo_total]]</f>
        <v>347445</v>
      </c>
      <c r="N748" s="3">
        <f>Tabla1[[#This Row],[margen]]/Tabla1[[#This Row],[venta_total]]</f>
        <v>0.25000017988471546</v>
      </c>
    </row>
    <row r="749" spans="1:14" x14ac:dyDescent="0.25">
      <c r="A749" s="2">
        <v>45297</v>
      </c>
      <c r="B749" t="s">
        <v>18</v>
      </c>
      <c r="C749" t="s">
        <v>11</v>
      </c>
      <c r="D749" t="s">
        <v>19</v>
      </c>
      <c r="E749" t="s">
        <v>13</v>
      </c>
      <c r="F749" t="s">
        <v>33</v>
      </c>
      <c r="G749">
        <v>3</v>
      </c>
      <c r="H749" s="1">
        <v>1541802</v>
      </c>
      <c r="I749" s="1">
        <v>1079261</v>
      </c>
      <c r="J749" t="s">
        <v>15</v>
      </c>
      <c r="K749" s="1">
        <f>Tabla1[[#This Row],[cantidad]]*Tabla1[[#This Row],[precio_unitario]]</f>
        <v>4625406</v>
      </c>
      <c r="L749" s="1">
        <f>Tabla1[[#This Row],[cantidad]]*Tabla1[[#This Row],[costo_unitario]]</f>
        <v>3237783</v>
      </c>
      <c r="M749" s="1">
        <f>Tabla1[[#This Row],[venta_total]]-Tabla1[[#This Row],[costo_total]]</f>
        <v>1387623</v>
      </c>
      <c r="N749" s="3">
        <f>Tabla1[[#This Row],[margen]]/Tabla1[[#This Row],[venta_total]]</f>
        <v>0.30000025943668512</v>
      </c>
    </row>
    <row r="750" spans="1:14" x14ac:dyDescent="0.25">
      <c r="A750" s="2">
        <v>45450</v>
      </c>
      <c r="B750" t="s">
        <v>34</v>
      </c>
      <c r="C750" t="s">
        <v>11</v>
      </c>
      <c r="D750" t="s">
        <v>19</v>
      </c>
      <c r="E750" t="s">
        <v>16</v>
      </c>
      <c r="F750" t="s">
        <v>35</v>
      </c>
      <c r="G750">
        <v>2</v>
      </c>
      <c r="H750" s="1">
        <v>738554</v>
      </c>
      <c r="I750" s="1">
        <v>480060</v>
      </c>
      <c r="J750" t="s">
        <v>25</v>
      </c>
      <c r="K750" s="1">
        <f>Tabla1[[#This Row],[cantidad]]*Tabla1[[#This Row],[precio_unitario]]</f>
        <v>1477108</v>
      </c>
      <c r="L750" s="1">
        <f>Tabla1[[#This Row],[cantidad]]*Tabla1[[#This Row],[costo_unitario]]</f>
        <v>960120</v>
      </c>
      <c r="M750" s="1">
        <f>Tabla1[[#This Row],[venta_total]]-Tabla1[[#This Row],[costo_total]]</f>
        <v>516988</v>
      </c>
      <c r="N750" s="3">
        <f>Tabla1[[#This Row],[margen]]/Tabla1[[#This Row],[venta_total]]</f>
        <v>0.35000013539971347</v>
      </c>
    </row>
    <row r="751" spans="1:14" x14ac:dyDescent="0.25">
      <c r="A751" s="2">
        <v>45469</v>
      </c>
      <c r="B751" t="s">
        <v>10</v>
      </c>
      <c r="C751" t="s">
        <v>11</v>
      </c>
      <c r="D751" t="s">
        <v>19</v>
      </c>
      <c r="E751" t="s">
        <v>13</v>
      </c>
      <c r="F751" t="s">
        <v>33</v>
      </c>
      <c r="G751">
        <v>1</v>
      </c>
      <c r="H751" s="1">
        <v>1795473</v>
      </c>
      <c r="I751" s="1">
        <v>1256831</v>
      </c>
      <c r="J751" t="s">
        <v>15</v>
      </c>
      <c r="K751" s="1">
        <f>Tabla1[[#This Row],[cantidad]]*Tabla1[[#This Row],[precio_unitario]]</f>
        <v>1795473</v>
      </c>
      <c r="L751" s="1">
        <f>Tabla1[[#This Row],[cantidad]]*Tabla1[[#This Row],[costo_unitario]]</f>
        <v>1256831</v>
      </c>
      <c r="M751" s="1">
        <f>Tabla1[[#This Row],[venta_total]]-Tabla1[[#This Row],[costo_total]]</f>
        <v>538642</v>
      </c>
      <c r="N751" s="3">
        <f>Tabla1[[#This Row],[margen]]/Tabla1[[#This Row],[venta_total]]</f>
        <v>0.30000005569563004</v>
      </c>
    </row>
    <row r="752" spans="1:14" x14ac:dyDescent="0.25">
      <c r="A752" s="2">
        <v>45322</v>
      </c>
      <c r="B752" t="s">
        <v>18</v>
      </c>
      <c r="C752" t="s">
        <v>11</v>
      </c>
      <c r="D752" t="s">
        <v>23</v>
      </c>
      <c r="E752" t="s">
        <v>16</v>
      </c>
      <c r="F752" t="s">
        <v>24</v>
      </c>
      <c r="G752">
        <v>1</v>
      </c>
      <c r="H752" s="1">
        <v>1303995</v>
      </c>
      <c r="I752" s="1">
        <v>977996</v>
      </c>
      <c r="J752" t="s">
        <v>22</v>
      </c>
      <c r="K752" s="1">
        <f>Tabla1[[#This Row],[cantidad]]*Tabla1[[#This Row],[precio_unitario]]</f>
        <v>1303995</v>
      </c>
      <c r="L752" s="1">
        <f>Tabla1[[#This Row],[cantidad]]*Tabla1[[#This Row],[costo_unitario]]</f>
        <v>977996</v>
      </c>
      <c r="M752" s="1">
        <f>Tabla1[[#This Row],[venta_total]]-Tabla1[[#This Row],[costo_total]]</f>
        <v>325999</v>
      </c>
      <c r="N752" s="3">
        <f>Tabla1[[#This Row],[margen]]/Tabla1[[#This Row],[venta_total]]</f>
        <v>0.25000019171852655</v>
      </c>
    </row>
    <row r="753" spans="1:14" x14ac:dyDescent="0.25">
      <c r="A753" s="2">
        <v>45425</v>
      </c>
      <c r="B753" t="s">
        <v>10</v>
      </c>
      <c r="C753" t="s">
        <v>11</v>
      </c>
      <c r="D753" t="s">
        <v>19</v>
      </c>
      <c r="E753" t="s">
        <v>20</v>
      </c>
      <c r="F753" t="s">
        <v>21</v>
      </c>
      <c r="G753">
        <v>1</v>
      </c>
      <c r="H753" s="1">
        <v>339631</v>
      </c>
      <c r="I753" s="1">
        <v>203778</v>
      </c>
      <c r="J753" t="s">
        <v>31</v>
      </c>
      <c r="K753" s="1">
        <f>Tabla1[[#This Row],[cantidad]]*Tabla1[[#This Row],[precio_unitario]]</f>
        <v>339631</v>
      </c>
      <c r="L753" s="1">
        <f>Tabla1[[#This Row],[cantidad]]*Tabla1[[#This Row],[costo_unitario]]</f>
        <v>203778</v>
      </c>
      <c r="M753" s="1">
        <f>Tabla1[[#This Row],[venta_total]]-Tabla1[[#This Row],[costo_total]]</f>
        <v>135853</v>
      </c>
      <c r="N753" s="3">
        <f>Tabla1[[#This Row],[margen]]/Tabla1[[#This Row],[venta_total]]</f>
        <v>0.40000176662318809</v>
      </c>
    </row>
    <row r="754" spans="1:14" x14ac:dyDescent="0.25">
      <c r="A754" s="2">
        <v>45332</v>
      </c>
      <c r="B754" t="s">
        <v>10</v>
      </c>
      <c r="C754" t="s">
        <v>11</v>
      </c>
      <c r="D754" t="s">
        <v>19</v>
      </c>
      <c r="E754" t="s">
        <v>16</v>
      </c>
      <c r="F754" t="s">
        <v>35</v>
      </c>
      <c r="G754">
        <v>1</v>
      </c>
      <c r="H754" s="1">
        <v>1001877</v>
      </c>
      <c r="I754" s="1">
        <v>651220</v>
      </c>
      <c r="J754" t="s">
        <v>31</v>
      </c>
      <c r="K754" s="1">
        <f>Tabla1[[#This Row],[cantidad]]*Tabla1[[#This Row],[precio_unitario]]</f>
        <v>1001877</v>
      </c>
      <c r="L754" s="1">
        <f>Tabla1[[#This Row],[cantidad]]*Tabla1[[#This Row],[costo_unitario]]</f>
        <v>651220</v>
      </c>
      <c r="M754" s="1">
        <f>Tabla1[[#This Row],[venta_total]]-Tabla1[[#This Row],[costo_total]]</f>
        <v>350657</v>
      </c>
      <c r="N754" s="3">
        <f>Tabla1[[#This Row],[margen]]/Tabla1[[#This Row],[venta_total]]</f>
        <v>0.35000004990632583</v>
      </c>
    </row>
    <row r="755" spans="1:14" x14ac:dyDescent="0.25">
      <c r="A755" s="2">
        <v>45470</v>
      </c>
      <c r="B755" t="s">
        <v>18</v>
      </c>
      <c r="C755" t="s">
        <v>11</v>
      </c>
      <c r="D755" t="s">
        <v>23</v>
      </c>
      <c r="E755" t="s">
        <v>16</v>
      </c>
      <c r="F755" t="s">
        <v>24</v>
      </c>
      <c r="G755">
        <v>1</v>
      </c>
      <c r="H755" s="1">
        <v>1899792</v>
      </c>
      <c r="I755" s="1">
        <v>1424844</v>
      </c>
      <c r="J755" t="s">
        <v>31</v>
      </c>
      <c r="K755" s="1">
        <f>Tabla1[[#This Row],[cantidad]]*Tabla1[[#This Row],[precio_unitario]]</f>
        <v>1899792</v>
      </c>
      <c r="L755" s="1">
        <f>Tabla1[[#This Row],[cantidad]]*Tabla1[[#This Row],[costo_unitario]]</f>
        <v>1424844</v>
      </c>
      <c r="M755" s="1">
        <f>Tabla1[[#This Row],[venta_total]]-Tabla1[[#This Row],[costo_total]]</f>
        <v>474948</v>
      </c>
      <c r="N755" s="3">
        <f>Tabla1[[#This Row],[margen]]/Tabla1[[#This Row],[venta_total]]</f>
        <v>0.25</v>
      </c>
    </row>
    <row r="756" spans="1:14" x14ac:dyDescent="0.25">
      <c r="A756" s="2">
        <v>45385</v>
      </c>
      <c r="B756" t="s">
        <v>32</v>
      </c>
      <c r="C756" t="s">
        <v>11</v>
      </c>
      <c r="D756" t="s">
        <v>26</v>
      </c>
      <c r="E756" t="s">
        <v>13</v>
      </c>
      <c r="F756" t="s">
        <v>27</v>
      </c>
      <c r="G756">
        <v>1</v>
      </c>
      <c r="H756" s="1">
        <v>5514362</v>
      </c>
      <c r="I756" s="1">
        <v>4411489</v>
      </c>
      <c r="J756" t="s">
        <v>15</v>
      </c>
      <c r="K756" s="1">
        <f>Tabla1[[#This Row],[cantidad]]*Tabla1[[#This Row],[precio_unitario]]</f>
        <v>5514362</v>
      </c>
      <c r="L756" s="1">
        <f>Tabla1[[#This Row],[cantidad]]*Tabla1[[#This Row],[costo_unitario]]</f>
        <v>4411489</v>
      </c>
      <c r="M756" s="1">
        <f>Tabla1[[#This Row],[venta_total]]-Tabla1[[#This Row],[costo_total]]</f>
        <v>1102873</v>
      </c>
      <c r="N756" s="3">
        <f>Tabla1[[#This Row],[margen]]/Tabla1[[#This Row],[venta_total]]</f>
        <v>0.2000001088067849</v>
      </c>
    </row>
    <row r="757" spans="1:14" x14ac:dyDescent="0.25">
      <c r="A757" s="2">
        <v>45370</v>
      </c>
      <c r="B757" t="s">
        <v>34</v>
      </c>
      <c r="C757" t="s">
        <v>11</v>
      </c>
      <c r="D757" t="s">
        <v>19</v>
      </c>
      <c r="E757" t="s">
        <v>16</v>
      </c>
      <c r="F757" t="s">
        <v>35</v>
      </c>
      <c r="G757">
        <v>2</v>
      </c>
      <c r="H757" s="1">
        <v>1126950</v>
      </c>
      <c r="I757" s="1">
        <v>732517</v>
      </c>
      <c r="J757" t="s">
        <v>31</v>
      </c>
      <c r="K757" s="1">
        <f>Tabla1[[#This Row],[cantidad]]*Tabla1[[#This Row],[precio_unitario]]</f>
        <v>2253900</v>
      </c>
      <c r="L757" s="1">
        <f>Tabla1[[#This Row],[cantidad]]*Tabla1[[#This Row],[costo_unitario]]</f>
        <v>1465034</v>
      </c>
      <c r="M757" s="1">
        <f>Tabla1[[#This Row],[venta_total]]-Tabla1[[#This Row],[costo_total]]</f>
        <v>788866</v>
      </c>
      <c r="N757" s="3">
        <f>Tabla1[[#This Row],[margen]]/Tabla1[[#This Row],[venta_total]]</f>
        <v>0.35000044367540706</v>
      </c>
    </row>
    <row r="758" spans="1:14" x14ac:dyDescent="0.25">
      <c r="A758" s="2">
        <v>45354</v>
      </c>
      <c r="B758" t="s">
        <v>10</v>
      </c>
      <c r="C758" t="s">
        <v>11</v>
      </c>
      <c r="D758" t="s">
        <v>23</v>
      </c>
      <c r="E758" t="s">
        <v>20</v>
      </c>
      <c r="F758" t="s">
        <v>30</v>
      </c>
      <c r="G758">
        <v>1</v>
      </c>
      <c r="H758" s="1">
        <v>1287357</v>
      </c>
      <c r="I758" s="1">
        <v>901149</v>
      </c>
      <c r="J758" t="s">
        <v>29</v>
      </c>
      <c r="K758" s="1">
        <f>Tabla1[[#This Row],[cantidad]]*Tabla1[[#This Row],[precio_unitario]]</f>
        <v>1287357</v>
      </c>
      <c r="L758" s="1">
        <f>Tabla1[[#This Row],[cantidad]]*Tabla1[[#This Row],[costo_unitario]]</f>
        <v>901149</v>
      </c>
      <c r="M758" s="1">
        <f>Tabla1[[#This Row],[venta_total]]-Tabla1[[#This Row],[costo_total]]</f>
        <v>386208</v>
      </c>
      <c r="N758" s="3">
        <f>Tabla1[[#This Row],[margen]]/Tabla1[[#This Row],[venta_total]]</f>
        <v>0.30000069910677457</v>
      </c>
    </row>
    <row r="759" spans="1:14" x14ac:dyDescent="0.25">
      <c r="A759" s="2">
        <v>45447</v>
      </c>
      <c r="B759" t="s">
        <v>10</v>
      </c>
      <c r="C759" t="s">
        <v>11</v>
      </c>
      <c r="D759" t="s">
        <v>19</v>
      </c>
      <c r="E759" t="s">
        <v>13</v>
      </c>
      <c r="F759" t="s">
        <v>33</v>
      </c>
      <c r="G759">
        <v>2</v>
      </c>
      <c r="H759" s="1">
        <v>1482796</v>
      </c>
      <c r="I759" s="1">
        <v>1037957</v>
      </c>
      <c r="J759" t="s">
        <v>25</v>
      </c>
      <c r="K759" s="1">
        <f>Tabla1[[#This Row],[cantidad]]*Tabla1[[#This Row],[precio_unitario]]</f>
        <v>2965592</v>
      </c>
      <c r="L759" s="1">
        <f>Tabla1[[#This Row],[cantidad]]*Tabla1[[#This Row],[costo_unitario]]</f>
        <v>2075914</v>
      </c>
      <c r="M759" s="1">
        <f>Tabla1[[#This Row],[venta_total]]-Tabla1[[#This Row],[costo_total]]</f>
        <v>889678</v>
      </c>
      <c r="N759" s="3">
        <f>Tabla1[[#This Row],[margen]]/Tabla1[[#This Row],[venta_total]]</f>
        <v>0.30000013488032068</v>
      </c>
    </row>
    <row r="760" spans="1:14" x14ac:dyDescent="0.25">
      <c r="A760" s="2">
        <v>45309</v>
      </c>
      <c r="B760" t="s">
        <v>34</v>
      </c>
      <c r="C760" t="s">
        <v>11</v>
      </c>
      <c r="D760" t="s">
        <v>26</v>
      </c>
      <c r="E760" t="s">
        <v>16</v>
      </c>
      <c r="F760" t="s">
        <v>40</v>
      </c>
      <c r="G760">
        <v>1</v>
      </c>
      <c r="H760" s="1">
        <v>3540465</v>
      </c>
      <c r="I760" s="1">
        <v>2761562</v>
      </c>
      <c r="J760" t="s">
        <v>15</v>
      </c>
      <c r="K760" s="1">
        <f>Tabla1[[#This Row],[cantidad]]*Tabla1[[#This Row],[precio_unitario]]</f>
        <v>3540465</v>
      </c>
      <c r="L760" s="1">
        <f>Tabla1[[#This Row],[cantidad]]*Tabla1[[#This Row],[costo_unitario]]</f>
        <v>2761562</v>
      </c>
      <c r="M760" s="1">
        <f>Tabla1[[#This Row],[venta_total]]-Tabla1[[#This Row],[costo_total]]</f>
        <v>778903</v>
      </c>
      <c r="N760" s="3">
        <f>Tabla1[[#This Row],[margen]]/Tabla1[[#This Row],[venta_total]]</f>
        <v>0.22000019771414206</v>
      </c>
    </row>
    <row r="761" spans="1:14" x14ac:dyDescent="0.25">
      <c r="A761" s="2">
        <v>45420</v>
      </c>
      <c r="B761" t="s">
        <v>18</v>
      </c>
      <c r="C761" t="s">
        <v>11</v>
      </c>
      <c r="D761" t="s">
        <v>38</v>
      </c>
      <c r="E761" t="s">
        <v>16</v>
      </c>
      <c r="F761" t="s">
        <v>39</v>
      </c>
      <c r="G761">
        <v>1</v>
      </c>
      <c r="H761" s="1">
        <v>5855887</v>
      </c>
      <c r="I761" s="1">
        <v>4391915</v>
      </c>
      <c r="J761" t="s">
        <v>29</v>
      </c>
      <c r="K761" s="1">
        <f>Tabla1[[#This Row],[cantidad]]*Tabla1[[#This Row],[precio_unitario]]</f>
        <v>5855887</v>
      </c>
      <c r="L761" s="1">
        <f>Tabla1[[#This Row],[cantidad]]*Tabla1[[#This Row],[costo_unitario]]</f>
        <v>4391915</v>
      </c>
      <c r="M761" s="1">
        <f>Tabla1[[#This Row],[venta_total]]-Tabla1[[#This Row],[costo_total]]</f>
        <v>1463972</v>
      </c>
      <c r="N761" s="3">
        <f>Tabla1[[#This Row],[margen]]/Tabla1[[#This Row],[venta_total]]</f>
        <v>0.25000004269208065</v>
      </c>
    </row>
    <row r="762" spans="1:14" x14ac:dyDescent="0.25">
      <c r="A762" s="2">
        <v>45393</v>
      </c>
      <c r="B762" t="s">
        <v>34</v>
      </c>
      <c r="C762" t="s">
        <v>11</v>
      </c>
      <c r="D762" t="s">
        <v>26</v>
      </c>
      <c r="E762" t="s">
        <v>16</v>
      </c>
      <c r="F762" t="s">
        <v>40</v>
      </c>
      <c r="G762">
        <v>1</v>
      </c>
      <c r="H762" s="1">
        <v>4563861</v>
      </c>
      <c r="I762" s="1">
        <v>3559811</v>
      </c>
      <c r="J762" t="s">
        <v>25</v>
      </c>
      <c r="K762" s="1">
        <f>Tabla1[[#This Row],[cantidad]]*Tabla1[[#This Row],[precio_unitario]]</f>
        <v>4563861</v>
      </c>
      <c r="L762" s="1">
        <f>Tabla1[[#This Row],[cantidad]]*Tabla1[[#This Row],[costo_unitario]]</f>
        <v>3559811</v>
      </c>
      <c r="M762" s="1">
        <f>Tabla1[[#This Row],[venta_total]]-Tabla1[[#This Row],[costo_total]]</f>
        <v>1004050</v>
      </c>
      <c r="N762" s="3">
        <f>Tabla1[[#This Row],[margen]]/Tabla1[[#This Row],[venta_total]]</f>
        <v>0.22000012708537792</v>
      </c>
    </row>
    <row r="763" spans="1:14" x14ac:dyDescent="0.25">
      <c r="A763" s="2">
        <v>45330</v>
      </c>
      <c r="B763" t="s">
        <v>10</v>
      </c>
      <c r="C763" t="s">
        <v>11</v>
      </c>
      <c r="D763" t="s">
        <v>12</v>
      </c>
      <c r="E763" t="s">
        <v>16</v>
      </c>
      <c r="F763" t="s">
        <v>17</v>
      </c>
      <c r="G763">
        <v>1</v>
      </c>
      <c r="H763" s="1">
        <v>3031434</v>
      </c>
      <c r="I763" s="1">
        <v>2364518</v>
      </c>
      <c r="J763" t="s">
        <v>29</v>
      </c>
      <c r="K763" s="1">
        <f>Tabla1[[#This Row],[cantidad]]*Tabla1[[#This Row],[precio_unitario]]</f>
        <v>3031434</v>
      </c>
      <c r="L763" s="1">
        <f>Tabla1[[#This Row],[cantidad]]*Tabla1[[#This Row],[costo_unitario]]</f>
        <v>2364518</v>
      </c>
      <c r="M763" s="1">
        <f>Tabla1[[#This Row],[venta_total]]-Tabla1[[#This Row],[costo_total]]</f>
        <v>666916</v>
      </c>
      <c r="N763" s="3">
        <f>Tabla1[[#This Row],[margen]]/Tabla1[[#This Row],[venta_total]]</f>
        <v>0.22000017153597934</v>
      </c>
    </row>
    <row r="764" spans="1:14" x14ac:dyDescent="0.25">
      <c r="A764" s="2">
        <v>45327</v>
      </c>
      <c r="B764" t="s">
        <v>10</v>
      </c>
      <c r="C764" t="s">
        <v>11</v>
      </c>
      <c r="D764" t="s">
        <v>12</v>
      </c>
      <c r="E764" t="s">
        <v>16</v>
      </c>
      <c r="F764" t="s">
        <v>17</v>
      </c>
      <c r="G764">
        <v>1</v>
      </c>
      <c r="H764" s="1">
        <v>3036860</v>
      </c>
      <c r="I764" s="1">
        <v>2368750</v>
      </c>
      <c r="J764" t="s">
        <v>22</v>
      </c>
      <c r="K764" s="1">
        <f>Tabla1[[#This Row],[cantidad]]*Tabla1[[#This Row],[precio_unitario]]</f>
        <v>3036860</v>
      </c>
      <c r="L764" s="1">
        <f>Tabla1[[#This Row],[cantidad]]*Tabla1[[#This Row],[costo_unitario]]</f>
        <v>2368750</v>
      </c>
      <c r="M764" s="1">
        <f>Tabla1[[#This Row],[venta_total]]-Tabla1[[#This Row],[costo_total]]</f>
        <v>668110</v>
      </c>
      <c r="N764" s="3">
        <f>Tabla1[[#This Row],[margen]]/Tabla1[[#This Row],[venta_total]]</f>
        <v>0.22000026342999018</v>
      </c>
    </row>
    <row r="765" spans="1:14" x14ac:dyDescent="0.25">
      <c r="A765" s="2">
        <v>45368</v>
      </c>
      <c r="B765" t="s">
        <v>34</v>
      </c>
      <c r="C765" t="s">
        <v>11</v>
      </c>
      <c r="D765" t="s">
        <v>38</v>
      </c>
      <c r="E765" t="s">
        <v>16</v>
      </c>
      <c r="F765" t="s">
        <v>39</v>
      </c>
      <c r="G765">
        <v>1</v>
      </c>
      <c r="H765" s="1">
        <v>4502106</v>
      </c>
      <c r="I765" s="1">
        <v>3376579</v>
      </c>
      <c r="J765" t="s">
        <v>15</v>
      </c>
      <c r="K765" s="1">
        <f>Tabla1[[#This Row],[cantidad]]*Tabla1[[#This Row],[precio_unitario]]</f>
        <v>4502106</v>
      </c>
      <c r="L765" s="1">
        <f>Tabla1[[#This Row],[cantidad]]*Tabla1[[#This Row],[costo_unitario]]</f>
        <v>3376579</v>
      </c>
      <c r="M765" s="1">
        <f>Tabla1[[#This Row],[venta_total]]-Tabla1[[#This Row],[costo_total]]</f>
        <v>1125527</v>
      </c>
      <c r="N765" s="3">
        <f>Tabla1[[#This Row],[margen]]/Tabla1[[#This Row],[venta_total]]</f>
        <v>0.25000011105913544</v>
      </c>
    </row>
    <row r="766" spans="1:14" x14ac:dyDescent="0.25">
      <c r="A766" s="2">
        <v>45382</v>
      </c>
      <c r="B766" t="s">
        <v>32</v>
      </c>
      <c r="C766" t="s">
        <v>11</v>
      </c>
      <c r="D766" t="s">
        <v>23</v>
      </c>
      <c r="E766" t="s">
        <v>16</v>
      </c>
      <c r="F766" t="s">
        <v>24</v>
      </c>
      <c r="G766">
        <v>1</v>
      </c>
      <c r="H766" s="1">
        <v>1330261</v>
      </c>
      <c r="I766" s="1">
        <v>997695</v>
      </c>
      <c r="J766" t="s">
        <v>31</v>
      </c>
      <c r="K766" s="1">
        <f>Tabla1[[#This Row],[cantidad]]*Tabla1[[#This Row],[precio_unitario]]</f>
        <v>1330261</v>
      </c>
      <c r="L766" s="1">
        <f>Tabla1[[#This Row],[cantidad]]*Tabla1[[#This Row],[costo_unitario]]</f>
        <v>997695</v>
      </c>
      <c r="M766" s="1">
        <f>Tabla1[[#This Row],[venta_total]]-Tabla1[[#This Row],[costo_total]]</f>
        <v>332566</v>
      </c>
      <c r="N766" s="3">
        <f>Tabla1[[#This Row],[margen]]/Tabla1[[#This Row],[venta_total]]</f>
        <v>0.25000056379913416</v>
      </c>
    </row>
    <row r="767" spans="1:14" x14ac:dyDescent="0.25">
      <c r="A767" s="2">
        <v>45354</v>
      </c>
      <c r="B767" t="s">
        <v>32</v>
      </c>
      <c r="C767" t="s">
        <v>11</v>
      </c>
      <c r="D767" t="s">
        <v>26</v>
      </c>
      <c r="E767" t="s">
        <v>13</v>
      </c>
      <c r="F767" t="s">
        <v>27</v>
      </c>
      <c r="G767">
        <v>1</v>
      </c>
      <c r="H767" s="1">
        <v>7030132</v>
      </c>
      <c r="I767" s="1">
        <v>5624105</v>
      </c>
      <c r="J767" t="s">
        <v>31</v>
      </c>
      <c r="K767" s="1">
        <f>Tabla1[[#This Row],[cantidad]]*Tabla1[[#This Row],[precio_unitario]]</f>
        <v>7030132</v>
      </c>
      <c r="L767" s="1">
        <f>Tabla1[[#This Row],[cantidad]]*Tabla1[[#This Row],[costo_unitario]]</f>
        <v>5624105</v>
      </c>
      <c r="M767" s="1">
        <f>Tabla1[[#This Row],[venta_total]]-Tabla1[[#This Row],[costo_total]]</f>
        <v>1406027</v>
      </c>
      <c r="N767" s="3">
        <f>Tabla1[[#This Row],[margen]]/Tabla1[[#This Row],[venta_total]]</f>
        <v>0.20000008534690386</v>
      </c>
    </row>
    <row r="768" spans="1:14" x14ac:dyDescent="0.25">
      <c r="A768" s="2">
        <v>45365</v>
      </c>
      <c r="B768" t="s">
        <v>34</v>
      </c>
      <c r="C768" t="s">
        <v>11</v>
      </c>
      <c r="D768" t="s">
        <v>12</v>
      </c>
      <c r="E768" t="s">
        <v>20</v>
      </c>
      <c r="F768" t="s">
        <v>37</v>
      </c>
      <c r="G768">
        <v>1</v>
      </c>
      <c r="H768" s="1">
        <v>1764114</v>
      </c>
      <c r="I768" s="1">
        <v>1323085</v>
      </c>
      <c r="J768" t="s">
        <v>15</v>
      </c>
      <c r="K768" s="1">
        <f>Tabla1[[#This Row],[cantidad]]*Tabla1[[#This Row],[precio_unitario]]</f>
        <v>1764114</v>
      </c>
      <c r="L768" s="1">
        <f>Tabla1[[#This Row],[cantidad]]*Tabla1[[#This Row],[costo_unitario]]</f>
        <v>1323085</v>
      </c>
      <c r="M768" s="1">
        <f>Tabla1[[#This Row],[venta_total]]-Tabla1[[#This Row],[costo_total]]</f>
        <v>441029</v>
      </c>
      <c r="N768" s="3">
        <f>Tabla1[[#This Row],[margen]]/Tabla1[[#This Row],[venta_total]]</f>
        <v>0.2500002834283952</v>
      </c>
    </row>
    <row r="769" spans="1:14" x14ac:dyDescent="0.25">
      <c r="A769" s="2">
        <v>45364</v>
      </c>
      <c r="B769" t="s">
        <v>32</v>
      </c>
      <c r="C769" t="s">
        <v>11</v>
      </c>
      <c r="D769" t="s">
        <v>26</v>
      </c>
      <c r="E769" t="s">
        <v>20</v>
      </c>
      <c r="F769" t="s">
        <v>36</v>
      </c>
      <c r="G769">
        <v>1</v>
      </c>
      <c r="H769" s="1">
        <v>3086776</v>
      </c>
      <c r="I769" s="1">
        <v>2315082</v>
      </c>
      <c r="J769" t="s">
        <v>31</v>
      </c>
      <c r="K769" s="1">
        <f>Tabla1[[#This Row],[cantidad]]*Tabla1[[#This Row],[precio_unitario]]</f>
        <v>3086776</v>
      </c>
      <c r="L769" s="1">
        <f>Tabla1[[#This Row],[cantidad]]*Tabla1[[#This Row],[costo_unitario]]</f>
        <v>2315082</v>
      </c>
      <c r="M769" s="1">
        <f>Tabla1[[#This Row],[venta_total]]-Tabla1[[#This Row],[costo_total]]</f>
        <v>771694</v>
      </c>
      <c r="N769" s="3">
        <f>Tabla1[[#This Row],[margen]]/Tabla1[[#This Row],[venta_total]]</f>
        <v>0.25</v>
      </c>
    </row>
    <row r="770" spans="1:14" x14ac:dyDescent="0.25">
      <c r="A770" s="2">
        <v>45395</v>
      </c>
      <c r="B770" t="s">
        <v>18</v>
      </c>
      <c r="C770" t="s">
        <v>11</v>
      </c>
      <c r="D770" t="s">
        <v>12</v>
      </c>
      <c r="E770" t="s">
        <v>16</v>
      </c>
      <c r="F770" t="s">
        <v>17</v>
      </c>
      <c r="G770">
        <v>1</v>
      </c>
      <c r="H770" s="1">
        <v>3089474</v>
      </c>
      <c r="I770" s="1">
        <v>2409789</v>
      </c>
      <c r="J770" t="s">
        <v>25</v>
      </c>
      <c r="K770" s="1">
        <f>Tabla1[[#This Row],[cantidad]]*Tabla1[[#This Row],[precio_unitario]]</f>
        <v>3089474</v>
      </c>
      <c r="L770" s="1">
        <f>Tabla1[[#This Row],[cantidad]]*Tabla1[[#This Row],[costo_unitario]]</f>
        <v>2409789</v>
      </c>
      <c r="M770" s="1">
        <f>Tabla1[[#This Row],[venta_total]]-Tabla1[[#This Row],[costo_total]]</f>
        <v>679685</v>
      </c>
      <c r="N770" s="3">
        <f>Tabla1[[#This Row],[margen]]/Tabla1[[#This Row],[venta_total]]</f>
        <v>0.22000023304937993</v>
      </c>
    </row>
    <row r="771" spans="1:14" x14ac:dyDescent="0.25">
      <c r="A771" s="2">
        <v>45381</v>
      </c>
      <c r="B771" t="s">
        <v>32</v>
      </c>
      <c r="C771" t="s">
        <v>11</v>
      </c>
      <c r="D771" t="s">
        <v>12</v>
      </c>
      <c r="E771" t="s">
        <v>20</v>
      </c>
      <c r="F771" t="s">
        <v>37</v>
      </c>
      <c r="G771">
        <v>1</v>
      </c>
      <c r="H771" s="1">
        <v>2108966</v>
      </c>
      <c r="I771" s="1">
        <v>1581724</v>
      </c>
      <c r="J771" t="s">
        <v>31</v>
      </c>
      <c r="K771" s="1">
        <f>Tabla1[[#This Row],[cantidad]]*Tabla1[[#This Row],[precio_unitario]]</f>
        <v>2108966</v>
      </c>
      <c r="L771" s="1">
        <f>Tabla1[[#This Row],[cantidad]]*Tabla1[[#This Row],[costo_unitario]]</f>
        <v>1581724</v>
      </c>
      <c r="M771" s="1">
        <f>Tabla1[[#This Row],[venta_total]]-Tabla1[[#This Row],[costo_total]]</f>
        <v>527242</v>
      </c>
      <c r="N771" s="3">
        <f>Tabla1[[#This Row],[margen]]/Tabla1[[#This Row],[venta_total]]</f>
        <v>0.25000023708300656</v>
      </c>
    </row>
    <row r="772" spans="1:14" x14ac:dyDescent="0.25">
      <c r="A772" s="2">
        <v>45452</v>
      </c>
      <c r="B772" t="s">
        <v>32</v>
      </c>
      <c r="C772" t="s">
        <v>11</v>
      </c>
      <c r="D772" t="s">
        <v>23</v>
      </c>
      <c r="E772" t="s">
        <v>20</v>
      </c>
      <c r="F772" t="s">
        <v>30</v>
      </c>
      <c r="G772">
        <v>1</v>
      </c>
      <c r="H772" s="1">
        <v>1201836</v>
      </c>
      <c r="I772" s="1">
        <v>841285</v>
      </c>
      <c r="J772" t="s">
        <v>15</v>
      </c>
      <c r="K772" s="1">
        <f>Tabla1[[#This Row],[cantidad]]*Tabla1[[#This Row],[precio_unitario]]</f>
        <v>1201836</v>
      </c>
      <c r="L772" s="1">
        <f>Tabla1[[#This Row],[cantidad]]*Tabla1[[#This Row],[costo_unitario]]</f>
        <v>841285</v>
      </c>
      <c r="M772" s="1">
        <f>Tabla1[[#This Row],[venta_total]]-Tabla1[[#This Row],[costo_total]]</f>
        <v>360551</v>
      </c>
      <c r="N772" s="3">
        <f>Tabla1[[#This Row],[margen]]/Tabla1[[#This Row],[venta_total]]</f>
        <v>0.30000016641205624</v>
      </c>
    </row>
    <row r="773" spans="1:14" x14ac:dyDescent="0.25">
      <c r="A773" s="2">
        <v>45466</v>
      </c>
      <c r="B773" t="s">
        <v>10</v>
      </c>
      <c r="C773" t="s">
        <v>11</v>
      </c>
      <c r="D773" t="s">
        <v>23</v>
      </c>
      <c r="E773" t="s">
        <v>13</v>
      </c>
      <c r="F773" t="s">
        <v>28</v>
      </c>
      <c r="G773">
        <v>1</v>
      </c>
      <c r="H773" s="1">
        <v>2337021</v>
      </c>
      <c r="I773" s="1">
        <v>1869616</v>
      </c>
      <c r="J773" t="s">
        <v>22</v>
      </c>
      <c r="K773" s="1">
        <f>Tabla1[[#This Row],[cantidad]]*Tabla1[[#This Row],[precio_unitario]]</f>
        <v>2337021</v>
      </c>
      <c r="L773" s="1">
        <f>Tabla1[[#This Row],[cantidad]]*Tabla1[[#This Row],[costo_unitario]]</f>
        <v>1869616</v>
      </c>
      <c r="M773" s="1">
        <f>Tabla1[[#This Row],[venta_total]]-Tabla1[[#This Row],[costo_total]]</f>
        <v>467405</v>
      </c>
      <c r="N773" s="3">
        <f>Tabla1[[#This Row],[margen]]/Tabla1[[#This Row],[venta_total]]</f>
        <v>0.20000034231613664</v>
      </c>
    </row>
    <row r="774" spans="1:14" x14ac:dyDescent="0.25">
      <c r="A774" s="2">
        <v>45312</v>
      </c>
      <c r="B774" t="s">
        <v>18</v>
      </c>
      <c r="C774" t="s">
        <v>11</v>
      </c>
      <c r="D774" t="s">
        <v>12</v>
      </c>
      <c r="E774" t="s">
        <v>16</v>
      </c>
      <c r="F774" t="s">
        <v>17</v>
      </c>
      <c r="G774">
        <v>1</v>
      </c>
      <c r="H774" s="1">
        <v>3229420</v>
      </c>
      <c r="I774" s="1">
        <v>2518947</v>
      </c>
      <c r="J774" t="s">
        <v>15</v>
      </c>
      <c r="K774" s="1">
        <f>Tabla1[[#This Row],[cantidad]]*Tabla1[[#This Row],[precio_unitario]]</f>
        <v>3229420</v>
      </c>
      <c r="L774" s="1">
        <f>Tabla1[[#This Row],[cantidad]]*Tabla1[[#This Row],[costo_unitario]]</f>
        <v>2518947</v>
      </c>
      <c r="M774" s="1">
        <f>Tabla1[[#This Row],[venta_total]]-Tabla1[[#This Row],[costo_total]]</f>
        <v>710473</v>
      </c>
      <c r="N774" s="3">
        <f>Tabla1[[#This Row],[margen]]/Tabla1[[#This Row],[venta_total]]</f>
        <v>0.22000018579187594</v>
      </c>
    </row>
    <row r="775" spans="1:14" x14ac:dyDescent="0.25">
      <c r="A775" s="2">
        <v>45439</v>
      </c>
      <c r="B775" t="s">
        <v>18</v>
      </c>
      <c r="C775" t="s">
        <v>11</v>
      </c>
      <c r="D775" t="s">
        <v>38</v>
      </c>
      <c r="E775" t="s">
        <v>13</v>
      </c>
      <c r="F775" t="s">
        <v>41</v>
      </c>
      <c r="G775">
        <v>1</v>
      </c>
      <c r="H775" s="1">
        <v>7586064</v>
      </c>
      <c r="I775" s="1">
        <v>6068851</v>
      </c>
      <c r="J775" t="s">
        <v>29</v>
      </c>
      <c r="K775" s="1">
        <f>Tabla1[[#This Row],[cantidad]]*Tabla1[[#This Row],[precio_unitario]]</f>
        <v>7586064</v>
      </c>
      <c r="L775" s="1">
        <f>Tabla1[[#This Row],[cantidad]]*Tabla1[[#This Row],[costo_unitario]]</f>
        <v>6068851</v>
      </c>
      <c r="M775" s="1">
        <f>Tabla1[[#This Row],[venta_total]]-Tabla1[[#This Row],[costo_total]]</f>
        <v>1517213</v>
      </c>
      <c r="N775" s="3">
        <f>Tabla1[[#This Row],[margen]]/Tabla1[[#This Row],[venta_total]]</f>
        <v>0.20000002636413297</v>
      </c>
    </row>
    <row r="776" spans="1:14" x14ac:dyDescent="0.25">
      <c r="A776" s="2">
        <v>45310</v>
      </c>
      <c r="B776" t="s">
        <v>34</v>
      </c>
      <c r="C776" t="s">
        <v>11</v>
      </c>
      <c r="D776" t="s">
        <v>26</v>
      </c>
      <c r="E776" t="s">
        <v>13</v>
      </c>
      <c r="F776" t="s">
        <v>27</v>
      </c>
      <c r="G776">
        <v>1</v>
      </c>
      <c r="H776" s="1">
        <v>7231964</v>
      </c>
      <c r="I776" s="1">
        <v>5785571</v>
      </c>
      <c r="J776" t="s">
        <v>25</v>
      </c>
      <c r="K776" s="1">
        <f>Tabla1[[#This Row],[cantidad]]*Tabla1[[#This Row],[precio_unitario]]</f>
        <v>7231964</v>
      </c>
      <c r="L776" s="1">
        <f>Tabla1[[#This Row],[cantidad]]*Tabla1[[#This Row],[costo_unitario]]</f>
        <v>5785571</v>
      </c>
      <c r="M776" s="1">
        <f>Tabla1[[#This Row],[venta_total]]-Tabla1[[#This Row],[costo_total]]</f>
        <v>1446393</v>
      </c>
      <c r="N776" s="3">
        <f>Tabla1[[#This Row],[margen]]/Tabla1[[#This Row],[venta_total]]</f>
        <v>0.20000002765500491</v>
      </c>
    </row>
    <row r="777" spans="1:14" x14ac:dyDescent="0.25">
      <c r="A777" s="2">
        <v>45389</v>
      </c>
      <c r="B777" t="s">
        <v>18</v>
      </c>
      <c r="C777" t="s">
        <v>11</v>
      </c>
      <c r="D777" t="s">
        <v>23</v>
      </c>
      <c r="E777" t="s">
        <v>13</v>
      </c>
      <c r="F777" t="s">
        <v>28</v>
      </c>
      <c r="G777">
        <v>1</v>
      </c>
      <c r="H777" s="1">
        <v>2035641</v>
      </c>
      <c r="I777" s="1">
        <v>1628512</v>
      </c>
      <c r="J777" t="s">
        <v>22</v>
      </c>
      <c r="K777" s="1">
        <f>Tabla1[[#This Row],[cantidad]]*Tabla1[[#This Row],[precio_unitario]]</f>
        <v>2035641</v>
      </c>
      <c r="L777" s="1">
        <f>Tabla1[[#This Row],[cantidad]]*Tabla1[[#This Row],[costo_unitario]]</f>
        <v>1628512</v>
      </c>
      <c r="M777" s="1">
        <f>Tabla1[[#This Row],[venta_total]]-Tabla1[[#This Row],[costo_total]]</f>
        <v>407129</v>
      </c>
      <c r="N777" s="3">
        <f>Tabla1[[#This Row],[margen]]/Tabla1[[#This Row],[venta_total]]</f>
        <v>0.20000039299660402</v>
      </c>
    </row>
    <row r="778" spans="1:14" x14ac:dyDescent="0.25">
      <c r="A778" s="2">
        <v>45364</v>
      </c>
      <c r="B778" t="s">
        <v>10</v>
      </c>
      <c r="C778" t="s">
        <v>11</v>
      </c>
      <c r="D778" t="s">
        <v>12</v>
      </c>
      <c r="E778" t="s">
        <v>13</v>
      </c>
      <c r="F778" t="s">
        <v>14</v>
      </c>
      <c r="G778">
        <v>1</v>
      </c>
      <c r="H778" s="1">
        <v>4585007</v>
      </c>
      <c r="I778" s="1">
        <v>3668005</v>
      </c>
      <c r="J778" t="s">
        <v>15</v>
      </c>
      <c r="K778" s="1">
        <f>Tabla1[[#This Row],[cantidad]]*Tabla1[[#This Row],[precio_unitario]]</f>
        <v>4585007</v>
      </c>
      <c r="L778" s="1">
        <f>Tabla1[[#This Row],[cantidad]]*Tabla1[[#This Row],[costo_unitario]]</f>
        <v>3668005</v>
      </c>
      <c r="M778" s="1">
        <f>Tabla1[[#This Row],[venta_total]]-Tabla1[[#This Row],[costo_total]]</f>
        <v>917002</v>
      </c>
      <c r="N778" s="3">
        <f>Tabla1[[#This Row],[margen]]/Tabla1[[#This Row],[venta_total]]</f>
        <v>0.20000013086130511</v>
      </c>
    </row>
    <row r="779" spans="1:14" x14ac:dyDescent="0.25">
      <c r="A779" s="2">
        <v>45363</v>
      </c>
      <c r="B779" t="s">
        <v>18</v>
      </c>
      <c r="C779" t="s">
        <v>11</v>
      </c>
      <c r="D779" t="s">
        <v>19</v>
      </c>
      <c r="E779" t="s">
        <v>13</v>
      </c>
      <c r="F779" t="s">
        <v>33</v>
      </c>
      <c r="G779">
        <v>2</v>
      </c>
      <c r="H779" s="1">
        <v>1601733</v>
      </c>
      <c r="I779" s="1">
        <v>1121213</v>
      </c>
      <c r="J779" t="s">
        <v>31</v>
      </c>
      <c r="K779" s="1">
        <f>Tabla1[[#This Row],[cantidad]]*Tabla1[[#This Row],[precio_unitario]]</f>
        <v>3203466</v>
      </c>
      <c r="L779" s="1">
        <f>Tabla1[[#This Row],[cantidad]]*Tabla1[[#This Row],[costo_unitario]]</f>
        <v>2242426</v>
      </c>
      <c r="M779" s="1">
        <f>Tabla1[[#This Row],[venta_total]]-Tabla1[[#This Row],[costo_total]]</f>
        <v>961040</v>
      </c>
      <c r="N779" s="3">
        <f>Tabla1[[#This Row],[margen]]/Tabla1[[#This Row],[venta_total]]</f>
        <v>0.30000006243237792</v>
      </c>
    </row>
    <row r="780" spans="1:14" x14ac:dyDescent="0.25">
      <c r="A780" s="2">
        <v>45465</v>
      </c>
      <c r="B780" t="s">
        <v>10</v>
      </c>
      <c r="C780" t="s">
        <v>11</v>
      </c>
      <c r="D780" t="s">
        <v>26</v>
      </c>
      <c r="E780" t="s">
        <v>16</v>
      </c>
      <c r="F780" t="s">
        <v>40</v>
      </c>
      <c r="G780">
        <v>1</v>
      </c>
      <c r="H780" s="1">
        <v>4287063</v>
      </c>
      <c r="I780" s="1">
        <v>3343909</v>
      </c>
      <c r="J780" t="s">
        <v>22</v>
      </c>
      <c r="K780" s="1">
        <f>Tabla1[[#This Row],[cantidad]]*Tabla1[[#This Row],[precio_unitario]]</f>
        <v>4287063</v>
      </c>
      <c r="L780" s="1">
        <f>Tabla1[[#This Row],[cantidad]]*Tabla1[[#This Row],[costo_unitario]]</f>
        <v>3343909</v>
      </c>
      <c r="M780" s="1">
        <f>Tabla1[[#This Row],[venta_total]]-Tabla1[[#This Row],[costo_total]]</f>
        <v>943154</v>
      </c>
      <c r="N780" s="3">
        <f>Tabla1[[#This Row],[margen]]/Tabla1[[#This Row],[venta_total]]</f>
        <v>0.2200000326563897</v>
      </c>
    </row>
    <row r="781" spans="1:14" x14ac:dyDescent="0.25">
      <c r="A781" s="2">
        <v>45337</v>
      </c>
      <c r="B781" t="s">
        <v>18</v>
      </c>
      <c r="C781" t="s">
        <v>11</v>
      </c>
      <c r="D781" t="s">
        <v>23</v>
      </c>
      <c r="E781" t="s">
        <v>20</v>
      </c>
      <c r="F781" t="s">
        <v>30</v>
      </c>
      <c r="G781">
        <v>1</v>
      </c>
      <c r="H781" s="1">
        <v>1175937</v>
      </c>
      <c r="I781" s="1">
        <v>823155</v>
      </c>
      <c r="J781" t="s">
        <v>29</v>
      </c>
      <c r="K781" s="1">
        <f>Tabla1[[#This Row],[cantidad]]*Tabla1[[#This Row],[precio_unitario]]</f>
        <v>1175937</v>
      </c>
      <c r="L781" s="1">
        <f>Tabla1[[#This Row],[cantidad]]*Tabla1[[#This Row],[costo_unitario]]</f>
        <v>823155</v>
      </c>
      <c r="M781" s="1">
        <f>Tabla1[[#This Row],[venta_total]]-Tabla1[[#This Row],[costo_total]]</f>
        <v>352782</v>
      </c>
      <c r="N781" s="3">
        <f>Tabla1[[#This Row],[margen]]/Tabla1[[#This Row],[venta_total]]</f>
        <v>0.30000076534712317</v>
      </c>
    </row>
    <row r="782" spans="1:14" x14ac:dyDescent="0.25">
      <c r="A782" s="2">
        <v>45415</v>
      </c>
      <c r="B782" t="s">
        <v>10</v>
      </c>
      <c r="C782" t="s">
        <v>11</v>
      </c>
      <c r="D782" t="s">
        <v>38</v>
      </c>
      <c r="E782" t="s">
        <v>13</v>
      </c>
      <c r="F782" t="s">
        <v>41</v>
      </c>
      <c r="G782">
        <v>1</v>
      </c>
      <c r="H782" s="1">
        <v>6381803</v>
      </c>
      <c r="I782" s="1">
        <v>5105442</v>
      </c>
      <c r="J782" t="s">
        <v>25</v>
      </c>
      <c r="K782" s="1">
        <f>Tabla1[[#This Row],[cantidad]]*Tabla1[[#This Row],[precio_unitario]]</f>
        <v>6381803</v>
      </c>
      <c r="L782" s="1">
        <f>Tabla1[[#This Row],[cantidad]]*Tabla1[[#This Row],[costo_unitario]]</f>
        <v>5105442</v>
      </c>
      <c r="M782" s="1">
        <f>Tabla1[[#This Row],[venta_total]]-Tabla1[[#This Row],[costo_total]]</f>
        <v>1276361</v>
      </c>
      <c r="N782" s="3">
        <f>Tabla1[[#This Row],[margen]]/Tabla1[[#This Row],[venta_total]]</f>
        <v>0.20000006267821177</v>
      </c>
    </row>
    <row r="783" spans="1:14" x14ac:dyDescent="0.25">
      <c r="A783" s="2">
        <v>45349</v>
      </c>
      <c r="B783" t="s">
        <v>32</v>
      </c>
      <c r="C783" t="s">
        <v>11</v>
      </c>
      <c r="D783" t="s">
        <v>19</v>
      </c>
      <c r="E783" t="s">
        <v>16</v>
      </c>
      <c r="F783" t="s">
        <v>35</v>
      </c>
      <c r="G783">
        <v>2</v>
      </c>
      <c r="H783" s="1">
        <v>1178351</v>
      </c>
      <c r="I783" s="1">
        <v>765928</v>
      </c>
      <c r="J783" t="s">
        <v>31</v>
      </c>
      <c r="K783" s="1">
        <f>Tabla1[[#This Row],[cantidad]]*Tabla1[[#This Row],[precio_unitario]]</f>
        <v>2356702</v>
      </c>
      <c r="L783" s="1">
        <f>Tabla1[[#This Row],[cantidad]]*Tabla1[[#This Row],[costo_unitario]]</f>
        <v>1531856</v>
      </c>
      <c r="M783" s="1">
        <f>Tabla1[[#This Row],[venta_total]]-Tabla1[[#This Row],[costo_total]]</f>
        <v>824846</v>
      </c>
      <c r="N783" s="3">
        <f>Tabla1[[#This Row],[margen]]/Tabla1[[#This Row],[venta_total]]</f>
        <v>0.35000012729653557</v>
      </c>
    </row>
    <row r="784" spans="1:14" x14ac:dyDescent="0.25">
      <c r="A784" s="2">
        <v>45456</v>
      </c>
      <c r="B784" t="s">
        <v>32</v>
      </c>
      <c r="C784" t="s">
        <v>11</v>
      </c>
      <c r="D784" t="s">
        <v>12</v>
      </c>
      <c r="E784" t="s">
        <v>16</v>
      </c>
      <c r="F784" t="s">
        <v>17</v>
      </c>
      <c r="G784">
        <v>1</v>
      </c>
      <c r="H784" s="1">
        <v>2982448</v>
      </c>
      <c r="I784" s="1">
        <v>2326309</v>
      </c>
      <c r="J784" t="s">
        <v>15</v>
      </c>
      <c r="K784" s="1">
        <f>Tabla1[[#This Row],[cantidad]]*Tabla1[[#This Row],[precio_unitario]]</f>
        <v>2982448</v>
      </c>
      <c r="L784" s="1">
        <f>Tabla1[[#This Row],[cantidad]]*Tabla1[[#This Row],[costo_unitario]]</f>
        <v>2326309</v>
      </c>
      <c r="M784" s="1">
        <f>Tabla1[[#This Row],[venta_total]]-Tabla1[[#This Row],[costo_total]]</f>
        <v>656139</v>
      </c>
      <c r="N784" s="3">
        <f>Tabla1[[#This Row],[margen]]/Tabla1[[#This Row],[venta_total]]</f>
        <v>0.22000014752981442</v>
      </c>
    </row>
    <row r="785" spans="1:14" x14ac:dyDescent="0.25">
      <c r="A785" s="2">
        <v>45316</v>
      </c>
      <c r="B785" t="s">
        <v>32</v>
      </c>
      <c r="C785" t="s">
        <v>11</v>
      </c>
      <c r="D785" t="s">
        <v>26</v>
      </c>
      <c r="E785" t="s">
        <v>16</v>
      </c>
      <c r="F785" t="s">
        <v>40</v>
      </c>
      <c r="G785">
        <v>1</v>
      </c>
      <c r="H785" s="1">
        <v>4916325</v>
      </c>
      <c r="I785" s="1">
        <v>3834733</v>
      </c>
      <c r="J785" t="s">
        <v>31</v>
      </c>
      <c r="K785" s="1">
        <f>Tabla1[[#This Row],[cantidad]]*Tabla1[[#This Row],[precio_unitario]]</f>
        <v>4916325</v>
      </c>
      <c r="L785" s="1">
        <f>Tabla1[[#This Row],[cantidad]]*Tabla1[[#This Row],[costo_unitario]]</f>
        <v>3834733</v>
      </c>
      <c r="M785" s="1">
        <f>Tabla1[[#This Row],[venta_total]]-Tabla1[[#This Row],[costo_total]]</f>
        <v>1081592</v>
      </c>
      <c r="N785" s="3">
        <f>Tabla1[[#This Row],[margen]]/Tabla1[[#This Row],[venta_total]]</f>
        <v>0.22000010170198267</v>
      </c>
    </row>
    <row r="786" spans="1:14" x14ac:dyDescent="0.25">
      <c r="A786" s="2">
        <v>45466</v>
      </c>
      <c r="B786" t="s">
        <v>34</v>
      </c>
      <c r="C786" t="s">
        <v>11</v>
      </c>
      <c r="D786" t="s">
        <v>23</v>
      </c>
      <c r="E786" t="s">
        <v>20</v>
      </c>
      <c r="F786" t="s">
        <v>30</v>
      </c>
      <c r="G786">
        <v>1</v>
      </c>
      <c r="H786" s="1">
        <v>838939</v>
      </c>
      <c r="I786" s="1">
        <v>587257</v>
      </c>
      <c r="J786" t="s">
        <v>15</v>
      </c>
      <c r="K786" s="1">
        <f>Tabla1[[#This Row],[cantidad]]*Tabla1[[#This Row],[precio_unitario]]</f>
        <v>838939</v>
      </c>
      <c r="L786" s="1">
        <f>Tabla1[[#This Row],[cantidad]]*Tabla1[[#This Row],[costo_unitario]]</f>
        <v>587257</v>
      </c>
      <c r="M786" s="1">
        <f>Tabla1[[#This Row],[venta_total]]-Tabla1[[#This Row],[costo_total]]</f>
        <v>251682</v>
      </c>
      <c r="N786" s="3">
        <f>Tabla1[[#This Row],[margen]]/Tabla1[[#This Row],[venta_total]]</f>
        <v>0.30000035759453308</v>
      </c>
    </row>
    <row r="787" spans="1:14" x14ac:dyDescent="0.25">
      <c r="A787" s="2">
        <v>45430</v>
      </c>
      <c r="B787" t="s">
        <v>34</v>
      </c>
      <c r="C787" t="s">
        <v>11</v>
      </c>
      <c r="D787" t="s">
        <v>26</v>
      </c>
      <c r="E787" t="s">
        <v>16</v>
      </c>
      <c r="F787" t="s">
        <v>40</v>
      </c>
      <c r="G787">
        <v>1</v>
      </c>
      <c r="H787" s="1">
        <v>3296165</v>
      </c>
      <c r="I787" s="1">
        <v>2571008</v>
      </c>
      <c r="J787" t="s">
        <v>15</v>
      </c>
      <c r="K787" s="1">
        <f>Tabla1[[#This Row],[cantidad]]*Tabla1[[#This Row],[precio_unitario]]</f>
        <v>3296165</v>
      </c>
      <c r="L787" s="1">
        <f>Tabla1[[#This Row],[cantidad]]*Tabla1[[#This Row],[costo_unitario]]</f>
        <v>2571008</v>
      </c>
      <c r="M787" s="1">
        <f>Tabla1[[#This Row],[venta_total]]-Tabla1[[#This Row],[costo_total]]</f>
        <v>725157</v>
      </c>
      <c r="N787" s="3">
        <f>Tabla1[[#This Row],[margen]]/Tabla1[[#This Row],[venta_total]]</f>
        <v>0.22000021236800948</v>
      </c>
    </row>
    <row r="788" spans="1:14" x14ac:dyDescent="0.25">
      <c r="A788" s="2">
        <v>45373</v>
      </c>
      <c r="B788" t="s">
        <v>10</v>
      </c>
      <c r="C788" t="s">
        <v>11</v>
      </c>
      <c r="D788" t="s">
        <v>26</v>
      </c>
      <c r="E788" t="s">
        <v>13</v>
      </c>
      <c r="F788" t="s">
        <v>27</v>
      </c>
      <c r="G788">
        <v>1</v>
      </c>
      <c r="H788" s="1">
        <v>7877600</v>
      </c>
      <c r="I788" s="1">
        <v>6302080</v>
      </c>
      <c r="J788" t="s">
        <v>25</v>
      </c>
      <c r="K788" s="1">
        <f>Tabla1[[#This Row],[cantidad]]*Tabla1[[#This Row],[precio_unitario]]</f>
        <v>7877600</v>
      </c>
      <c r="L788" s="1">
        <f>Tabla1[[#This Row],[cantidad]]*Tabla1[[#This Row],[costo_unitario]]</f>
        <v>6302080</v>
      </c>
      <c r="M788" s="1">
        <f>Tabla1[[#This Row],[venta_total]]-Tabla1[[#This Row],[costo_total]]</f>
        <v>1575520</v>
      </c>
      <c r="N788" s="3">
        <f>Tabla1[[#This Row],[margen]]/Tabla1[[#This Row],[venta_total]]</f>
        <v>0.2</v>
      </c>
    </row>
    <row r="789" spans="1:14" x14ac:dyDescent="0.25">
      <c r="A789" s="2">
        <v>45363</v>
      </c>
      <c r="B789" t="s">
        <v>34</v>
      </c>
      <c r="C789" t="s">
        <v>11</v>
      </c>
      <c r="D789" t="s">
        <v>19</v>
      </c>
      <c r="E789" t="s">
        <v>16</v>
      </c>
      <c r="F789" t="s">
        <v>35</v>
      </c>
      <c r="G789">
        <v>3</v>
      </c>
      <c r="H789" s="1">
        <v>1029474</v>
      </c>
      <c r="I789" s="1">
        <v>669158</v>
      </c>
      <c r="J789" t="s">
        <v>22</v>
      </c>
      <c r="K789" s="1">
        <f>Tabla1[[#This Row],[cantidad]]*Tabla1[[#This Row],[precio_unitario]]</f>
        <v>3088422</v>
      </c>
      <c r="L789" s="1">
        <f>Tabla1[[#This Row],[cantidad]]*Tabla1[[#This Row],[costo_unitario]]</f>
        <v>2007474</v>
      </c>
      <c r="M789" s="1">
        <f>Tabla1[[#This Row],[venta_total]]-Tabla1[[#This Row],[costo_total]]</f>
        <v>1080948</v>
      </c>
      <c r="N789" s="3">
        <f>Tabla1[[#This Row],[margen]]/Tabla1[[#This Row],[venta_total]]</f>
        <v>0.35000009713698454</v>
      </c>
    </row>
    <row r="790" spans="1:14" x14ac:dyDescent="0.25">
      <c r="A790" s="2">
        <v>45397</v>
      </c>
      <c r="B790" t="s">
        <v>32</v>
      </c>
      <c r="C790" t="s">
        <v>11</v>
      </c>
      <c r="D790" t="s">
        <v>26</v>
      </c>
      <c r="E790" t="s">
        <v>13</v>
      </c>
      <c r="F790" t="s">
        <v>27</v>
      </c>
      <c r="G790">
        <v>1</v>
      </c>
      <c r="H790" s="1">
        <v>9182593</v>
      </c>
      <c r="I790" s="1">
        <v>7346074</v>
      </c>
      <c r="J790" t="s">
        <v>15</v>
      </c>
      <c r="K790" s="1">
        <f>Tabla1[[#This Row],[cantidad]]*Tabla1[[#This Row],[precio_unitario]]</f>
        <v>9182593</v>
      </c>
      <c r="L790" s="1">
        <f>Tabla1[[#This Row],[cantidad]]*Tabla1[[#This Row],[costo_unitario]]</f>
        <v>7346074</v>
      </c>
      <c r="M790" s="1">
        <f>Tabla1[[#This Row],[venta_total]]-Tabla1[[#This Row],[costo_total]]</f>
        <v>1836519</v>
      </c>
      <c r="N790" s="3">
        <f>Tabla1[[#This Row],[margen]]/Tabla1[[#This Row],[venta_total]]</f>
        <v>0.20000004356068052</v>
      </c>
    </row>
    <row r="791" spans="1:14" x14ac:dyDescent="0.25">
      <c r="A791" s="2">
        <v>45337</v>
      </c>
      <c r="B791" t="s">
        <v>18</v>
      </c>
      <c r="C791" t="s">
        <v>11</v>
      </c>
      <c r="D791" t="s">
        <v>12</v>
      </c>
      <c r="E791" t="s">
        <v>20</v>
      </c>
      <c r="F791" t="s">
        <v>37</v>
      </c>
      <c r="G791">
        <v>1</v>
      </c>
      <c r="H791" s="1">
        <v>2254105</v>
      </c>
      <c r="I791" s="1">
        <v>1690578</v>
      </c>
      <c r="J791" t="s">
        <v>31</v>
      </c>
      <c r="K791" s="1">
        <f>Tabla1[[#This Row],[cantidad]]*Tabla1[[#This Row],[precio_unitario]]</f>
        <v>2254105</v>
      </c>
      <c r="L791" s="1">
        <f>Tabla1[[#This Row],[cantidad]]*Tabla1[[#This Row],[costo_unitario]]</f>
        <v>1690578</v>
      </c>
      <c r="M791" s="1">
        <f>Tabla1[[#This Row],[venta_total]]-Tabla1[[#This Row],[costo_total]]</f>
        <v>563527</v>
      </c>
      <c r="N791" s="3">
        <f>Tabla1[[#This Row],[margen]]/Tabla1[[#This Row],[venta_total]]</f>
        <v>0.25000033272629268</v>
      </c>
    </row>
    <row r="792" spans="1:14" x14ac:dyDescent="0.25">
      <c r="A792" s="2">
        <v>45314</v>
      </c>
      <c r="B792" t="s">
        <v>32</v>
      </c>
      <c r="C792" t="s">
        <v>11</v>
      </c>
      <c r="D792" t="s">
        <v>38</v>
      </c>
      <c r="E792" t="s">
        <v>16</v>
      </c>
      <c r="F792" t="s">
        <v>39</v>
      </c>
      <c r="G792">
        <v>1</v>
      </c>
      <c r="H792" s="1">
        <v>4698793</v>
      </c>
      <c r="I792" s="1">
        <v>3524094</v>
      </c>
      <c r="J792" t="s">
        <v>22</v>
      </c>
      <c r="K792" s="1">
        <f>Tabla1[[#This Row],[cantidad]]*Tabla1[[#This Row],[precio_unitario]]</f>
        <v>4698793</v>
      </c>
      <c r="L792" s="1">
        <f>Tabla1[[#This Row],[cantidad]]*Tabla1[[#This Row],[costo_unitario]]</f>
        <v>3524094</v>
      </c>
      <c r="M792" s="1">
        <f>Tabla1[[#This Row],[venta_total]]-Tabla1[[#This Row],[costo_total]]</f>
        <v>1174699</v>
      </c>
      <c r="N792" s="3">
        <f>Tabla1[[#This Row],[margen]]/Tabla1[[#This Row],[venta_total]]</f>
        <v>0.25000015961545868</v>
      </c>
    </row>
    <row r="793" spans="1:14" x14ac:dyDescent="0.25">
      <c r="A793" s="2">
        <v>45319</v>
      </c>
      <c r="B793" t="s">
        <v>32</v>
      </c>
      <c r="C793" t="s">
        <v>11</v>
      </c>
      <c r="D793" t="s">
        <v>19</v>
      </c>
      <c r="E793" t="s">
        <v>20</v>
      </c>
      <c r="F793" t="s">
        <v>21</v>
      </c>
      <c r="G793">
        <v>3</v>
      </c>
      <c r="H793" s="1">
        <v>353997</v>
      </c>
      <c r="I793" s="1">
        <v>212398</v>
      </c>
      <c r="J793" t="s">
        <v>25</v>
      </c>
      <c r="K793" s="1">
        <f>Tabla1[[#This Row],[cantidad]]*Tabla1[[#This Row],[precio_unitario]]</f>
        <v>1061991</v>
      </c>
      <c r="L793" s="1">
        <f>Tabla1[[#This Row],[cantidad]]*Tabla1[[#This Row],[costo_unitario]]</f>
        <v>637194</v>
      </c>
      <c r="M793" s="1">
        <f>Tabla1[[#This Row],[venta_total]]-Tabla1[[#This Row],[costo_total]]</f>
        <v>424797</v>
      </c>
      <c r="N793" s="3">
        <f>Tabla1[[#This Row],[margen]]/Tabla1[[#This Row],[venta_total]]</f>
        <v>0.40000056497653935</v>
      </c>
    </row>
    <row r="794" spans="1:14" x14ac:dyDescent="0.25">
      <c r="A794" s="2">
        <v>45389</v>
      </c>
      <c r="B794" t="s">
        <v>18</v>
      </c>
      <c r="C794" t="s">
        <v>11</v>
      </c>
      <c r="D794" t="s">
        <v>38</v>
      </c>
      <c r="E794" t="s">
        <v>16</v>
      </c>
      <c r="F794" t="s">
        <v>39</v>
      </c>
      <c r="G794">
        <v>1</v>
      </c>
      <c r="H794" s="1">
        <v>5350672</v>
      </c>
      <c r="I794" s="1">
        <v>4013004</v>
      </c>
      <c r="J794" t="s">
        <v>25</v>
      </c>
      <c r="K794" s="1">
        <f>Tabla1[[#This Row],[cantidad]]*Tabla1[[#This Row],[precio_unitario]]</f>
        <v>5350672</v>
      </c>
      <c r="L794" s="1">
        <f>Tabla1[[#This Row],[cantidad]]*Tabla1[[#This Row],[costo_unitario]]</f>
        <v>4013004</v>
      </c>
      <c r="M794" s="1">
        <f>Tabla1[[#This Row],[venta_total]]-Tabla1[[#This Row],[costo_total]]</f>
        <v>1337668</v>
      </c>
      <c r="N794" s="3">
        <f>Tabla1[[#This Row],[margen]]/Tabla1[[#This Row],[venta_total]]</f>
        <v>0.25</v>
      </c>
    </row>
    <row r="795" spans="1:14" x14ac:dyDescent="0.25">
      <c r="A795" s="2">
        <v>45400</v>
      </c>
      <c r="B795" t="s">
        <v>10</v>
      </c>
      <c r="C795" t="s">
        <v>11</v>
      </c>
      <c r="D795" t="s">
        <v>12</v>
      </c>
      <c r="E795" t="s">
        <v>20</v>
      </c>
      <c r="F795" t="s">
        <v>37</v>
      </c>
      <c r="G795">
        <v>1</v>
      </c>
      <c r="H795" s="1">
        <v>2661171</v>
      </c>
      <c r="I795" s="1">
        <v>1995878</v>
      </c>
      <c r="J795" t="s">
        <v>25</v>
      </c>
      <c r="K795" s="1">
        <f>Tabla1[[#This Row],[cantidad]]*Tabla1[[#This Row],[precio_unitario]]</f>
        <v>2661171</v>
      </c>
      <c r="L795" s="1">
        <f>Tabla1[[#This Row],[cantidad]]*Tabla1[[#This Row],[costo_unitario]]</f>
        <v>1995878</v>
      </c>
      <c r="M795" s="1">
        <f>Tabla1[[#This Row],[venta_total]]-Tabla1[[#This Row],[costo_total]]</f>
        <v>665293</v>
      </c>
      <c r="N795" s="3">
        <f>Tabla1[[#This Row],[margen]]/Tabla1[[#This Row],[venta_total]]</f>
        <v>0.25000009394360601</v>
      </c>
    </row>
    <row r="796" spans="1:14" x14ac:dyDescent="0.25">
      <c r="A796" s="2">
        <v>45444</v>
      </c>
      <c r="B796" t="s">
        <v>34</v>
      </c>
      <c r="C796" t="s">
        <v>11</v>
      </c>
      <c r="D796" t="s">
        <v>19</v>
      </c>
      <c r="E796" t="s">
        <v>16</v>
      </c>
      <c r="F796" t="s">
        <v>35</v>
      </c>
      <c r="G796">
        <v>1</v>
      </c>
      <c r="H796" s="1">
        <v>694910</v>
      </c>
      <c r="I796" s="1">
        <v>451691</v>
      </c>
      <c r="J796" t="s">
        <v>22</v>
      </c>
      <c r="K796" s="1">
        <f>Tabla1[[#This Row],[cantidad]]*Tabla1[[#This Row],[precio_unitario]]</f>
        <v>694910</v>
      </c>
      <c r="L796" s="1">
        <f>Tabla1[[#This Row],[cantidad]]*Tabla1[[#This Row],[costo_unitario]]</f>
        <v>451691</v>
      </c>
      <c r="M796" s="1">
        <f>Tabla1[[#This Row],[venta_total]]-Tabla1[[#This Row],[costo_total]]</f>
        <v>243219</v>
      </c>
      <c r="N796" s="3">
        <f>Tabla1[[#This Row],[margen]]/Tabla1[[#This Row],[venta_total]]</f>
        <v>0.35000071951763539</v>
      </c>
    </row>
    <row r="797" spans="1:14" x14ac:dyDescent="0.25">
      <c r="A797" s="2">
        <v>45462</v>
      </c>
      <c r="B797" t="s">
        <v>32</v>
      </c>
      <c r="C797" t="s">
        <v>11</v>
      </c>
      <c r="D797" t="s">
        <v>38</v>
      </c>
      <c r="E797" t="s">
        <v>13</v>
      </c>
      <c r="F797" t="s">
        <v>41</v>
      </c>
      <c r="G797">
        <v>1</v>
      </c>
      <c r="H797" s="1">
        <v>8424650</v>
      </c>
      <c r="I797" s="1">
        <v>6739720</v>
      </c>
      <c r="J797" t="s">
        <v>15</v>
      </c>
      <c r="K797" s="1">
        <f>Tabla1[[#This Row],[cantidad]]*Tabla1[[#This Row],[precio_unitario]]</f>
        <v>8424650</v>
      </c>
      <c r="L797" s="1">
        <f>Tabla1[[#This Row],[cantidad]]*Tabla1[[#This Row],[costo_unitario]]</f>
        <v>6739720</v>
      </c>
      <c r="M797" s="1">
        <f>Tabla1[[#This Row],[venta_total]]-Tabla1[[#This Row],[costo_total]]</f>
        <v>1684930</v>
      </c>
      <c r="N797" s="3">
        <f>Tabla1[[#This Row],[margen]]/Tabla1[[#This Row],[venta_total]]</f>
        <v>0.2</v>
      </c>
    </row>
    <row r="798" spans="1:14" x14ac:dyDescent="0.25">
      <c r="A798" s="2">
        <v>45457</v>
      </c>
      <c r="B798" t="s">
        <v>10</v>
      </c>
      <c r="C798" t="s">
        <v>11</v>
      </c>
      <c r="D798" t="s">
        <v>12</v>
      </c>
      <c r="E798" t="s">
        <v>20</v>
      </c>
      <c r="F798" t="s">
        <v>37</v>
      </c>
      <c r="G798">
        <v>1</v>
      </c>
      <c r="H798" s="1">
        <v>1978021</v>
      </c>
      <c r="I798" s="1">
        <v>1483515</v>
      </c>
      <c r="J798" t="s">
        <v>29</v>
      </c>
      <c r="K798" s="1">
        <f>Tabla1[[#This Row],[cantidad]]*Tabla1[[#This Row],[precio_unitario]]</f>
        <v>1978021</v>
      </c>
      <c r="L798" s="1">
        <f>Tabla1[[#This Row],[cantidad]]*Tabla1[[#This Row],[costo_unitario]]</f>
        <v>1483515</v>
      </c>
      <c r="M798" s="1">
        <f>Tabla1[[#This Row],[venta_total]]-Tabla1[[#This Row],[costo_total]]</f>
        <v>494506</v>
      </c>
      <c r="N798" s="3">
        <f>Tabla1[[#This Row],[margen]]/Tabla1[[#This Row],[venta_total]]</f>
        <v>0.25000037916685414</v>
      </c>
    </row>
    <row r="799" spans="1:14" x14ac:dyDescent="0.25">
      <c r="A799" s="2">
        <v>45335</v>
      </c>
      <c r="B799" t="s">
        <v>10</v>
      </c>
      <c r="C799" t="s">
        <v>11</v>
      </c>
      <c r="D799" t="s">
        <v>19</v>
      </c>
      <c r="E799" t="s">
        <v>16</v>
      </c>
      <c r="F799" t="s">
        <v>35</v>
      </c>
      <c r="G799">
        <v>3</v>
      </c>
      <c r="H799" s="1">
        <v>833010</v>
      </c>
      <c r="I799" s="1">
        <v>541456</v>
      </c>
      <c r="J799" t="s">
        <v>22</v>
      </c>
      <c r="K799" s="1">
        <f>Tabla1[[#This Row],[cantidad]]*Tabla1[[#This Row],[precio_unitario]]</f>
        <v>2499030</v>
      </c>
      <c r="L799" s="1">
        <f>Tabla1[[#This Row],[cantidad]]*Tabla1[[#This Row],[costo_unitario]]</f>
        <v>1624368</v>
      </c>
      <c r="M799" s="1">
        <f>Tabla1[[#This Row],[venta_total]]-Tabla1[[#This Row],[costo_total]]</f>
        <v>874662</v>
      </c>
      <c r="N799" s="3">
        <f>Tabla1[[#This Row],[margen]]/Tabla1[[#This Row],[venta_total]]</f>
        <v>0.35000060023289037</v>
      </c>
    </row>
    <row r="800" spans="1:14" x14ac:dyDescent="0.25">
      <c r="A800" s="2">
        <v>45412</v>
      </c>
      <c r="B800" t="s">
        <v>34</v>
      </c>
      <c r="C800" t="s">
        <v>11</v>
      </c>
      <c r="D800" t="s">
        <v>23</v>
      </c>
      <c r="E800" t="s">
        <v>13</v>
      </c>
      <c r="F800" t="s">
        <v>28</v>
      </c>
      <c r="G800">
        <v>1</v>
      </c>
      <c r="H800" s="1">
        <v>2698837</v>
      </c>
      <c r="I800" s="1">
        <v>2159069</v>
      </c>
      <c r="J800" t="s">
        <v>31</v>
      </c>
      <c r="K800" s="1">
        <f>Tabla1[[#This Row],[cantidad]]*Tabla1[[#This Row],[precio_unitario]]</f>
        <v>2698837</v>
      </c>
      <c r="L800" s="1">
        <f>Tabla1[[#This Row],[cantidad]]*Tabla1[[#This Row],[costo_unitario]]</f>
        <v>2159069</v>
      </c>
      <c r="M800" s="1">
        <f>Tabla1[[#This Row],[venta_total]]-Tabla1[[#This Row],[costo_total]]</f>
        <v>539768</v>
      </c>
      <c r="N800" s="3">
        <f>Tabla1[[#This Row],[margen]]/Tabla1[[#This Row],[venta_total]]</f>
        <v>0.20000022231798364</v>
      </c>
    </row>
    <row r="801" spans="1:14" x14ac:dyDescent="0.25">
      <c r="A801" s="2">
        <v>45423</v>
      </c>
      <c r="B801" t="s">
        <v>32</v>
      </c>
      <c r="C801" t="s">
        <v>11</v>
      </c>
      <c r="D801" t="s">
        <v>19</v>
      </c>
      <c r="E801" t="s">
        <v>16</v>
      </c>
      <c r="F801" t="s">
        <v>35</v>
      </c>
      <c r="G801">
        <v>1</v>
      </c>
      <c r="H801" s="1">
        <v>673222</v>
      </c>
      <c r="I801" s="1">
        <v>437594</v>
      </c>
      <c r="J801" t="s">
        <v>15</v>
      </c>
      <c r="K801" s="1">
        <f>Tabla1[[#This Row],[cantidad]]*Tabla1[[#This Row],[precio_unitario]]</f>
        <v>673222</v>
      </c>
      <c r="L801" s="1">
        <f>Tabla1[[#This Row],[cantidad]]*Tabla1[[#This Row],[costo_unitario]]</f>
        <v>437594</v>
      </c>
      <c r="M801" s="1">
        <f>Tabla1[[#This Row],[venta_total]]-Tabla1[[#This Row],[costo_total]]</f>
        <v>235628</v>
      </c>
      <c r="N801" s="3">
        <f>Tabla1[[#This Row],[margen]]/Tabla1[[#This Row],[venta_total]]</f>
        <v>0.3500004456182359</v>
      </c>
    </row>
    <row r="802" spans="1:14" x14ac:dyDescent="0.25">
      <c r="A802" s="2">
        <v>45359</v>
      </c>
      <c r="B802" t="s">
        <v>32</v>
      </c>
      <c r="C802" t="s">
        <v>11</v>
      </c>
      <c r="D802" t="s">
        <v>12</v>
      </c>
      <c r="E802" t="s">
        <v>20</v>
      </c>
      <c r="F802" t="s">
        <v>37</v>
      </c>
      <c r="G802">
        <v>1</v>
      </c>
      <c r="H802" s="1">
        <v>2103184</v>
      </c>
      <c r="I802" s="1">
        <v>1577388</v>
      </c>
      <c r="J802" t="s">
        <v>22</v>
      </c>
      <c r="K802" s="1">
        <f>Tabla1[[#This Row],[cantidad]]*Tabla1[[#This Row],[precio_unitario]]</f>
        <v>2103184</v>
      </c>
      <c r="L802" s="1">
        <f>Tabla1[[#This Row],[cantidad]]*Tabla1[[#This Row],[costo_unitario]]</f>
        <v>1577388</v>
      </c>
      <c r="M802" s="1">
        <f>Tabla1[[#This Row],[venta_total]]-Tabla1[[#This Row],[costo_total]]</f>
        <v>525796</v>
      </c>
      <c r="N802" s="3">
        <f>Tabla1[[#This Row],[margen]]/Tabla1[[#This Row],[venta_total]]</f>
        <v>0.25</v>
      </c>
    </row>
    <row r="803" spans="1:14" x14ac:dyDescent="0.25">
      <c r="A803" s="2">
        <v>45356</v>
      </c>
      <c r="B803" t="s">
        <v>34</v>
      </c>
      <c r="C803" t="s">
        <v>11</v>
      </c>
      <c r="D803" t="s">
        <v>12</v>
      </c>
      <c r="E803" t="s">
        <v>13</v>
      </c>
      <c r="F803" t="s">
        <v>14</v>
      </c>
      <c r="G803">
        <v>1</v>
      </c>
      <c r="H803" s="1">
        <v>4067837</v>
      </c>
      <c r="I803" s="1">
        <v>3254269</v>
      </c>
      <c r="J803" t="s">
        <v>15</v>
      </c>
      <c r="K803" s="1">
        <f>Tabla1[[#This Row],[cantidad]]*Tabla1[[#This Row],[precio_unitario]]</f>
        <v>4067837</v>
      </c>
      <c r="L803" s="1">
        <f>Tabla1[[#This Row],[cantidad]]*Tabla1[[#This Row],[costo_unitario]]</f>
        <v>3254269</v>
      </c>
      <c r="M803" s="1">
        <f>Tabla1[[#This Row],[venta_total]]-Tabla1[[#This Row],[costo_total]]</f>
        <v>813568</v>
      </c>
      <c r="N803" s="3">
        <f>Tabla1[[#This Row],[margen]]/Tabla1[[#This Row],[venta_total]]</f>
        <v>0.20000014749853545</v>
      </c>
    </row>
    <row r="804" spans="1:14" x14ac:dyDescent="0.25">
      <c r="A804" s="2">
        <v>45293</v>
      </c>
      <c r="B804" t="s">
        <v>18</v>
      </c>
      <c r="C804" t="s">
        <v>11</v>
      </c>
      <c r="D804" t="s">
        <v>19</v>
      </c>
      <c r="E804" t="s">
        <v>16</v>
      </c>
      <c r="F804" t="s">
        <v>35</v>
      </c>
      <c r="G804">
        <v>2</v>
      </c>
      <c r="H804" s="1">
        <v>1117647</v>
      </c>
      <c r="I804" s="1">
        <v>726470</v>
      </c>
      <c r="J804" t="s">
        <v>25</v>
      </c>
      <c r="K804" s="1">
        <f>Tabla1[[#This Row],[cantidad]]*Tabla1[[#This Row],[precio_unitario]]</f>
        <v>2235294</v>
      </c>
      <c r="L804" s="1">
        <f>Tabla1[[#This Row],[cantidad]]*Tabla1[[#This Row],[costo_unitario]]</f>
        <v>1452940</v>
      </c>
      <c r="M804" s="1">
        <f>Tabla1[[#This Row],[venta_total]]-Tabla1[[#This Row],[costo_total]]</f>
        <v>782354</v>
      </c>
      <c r="N804" s="3">
        <f>Tabla1[[#This Row],[margen]]/Tabla1[[#This Row],[venta_total]]</f>
        <v>0.35000049210528905</v>
      </c>
    </row>
    <row r="805" spans="1:14" x14ac:dyDescent="0.25">
      <c r="A805" s="2">
        <v>45473</v>
      </c>
      <c r="B805" t="s">
        <v>18</v>
      </c>
      <c r="C805" t="s">
        <v>11</v>
      </c>
      <c r="D805" t="s">
        <v>12</v>
      </c>
      <c r="E805" t="s">
        <v>20</v>
      </c>
      <c r="F805" t="s">
        <v>37</v>
      </c>
      <c r="G805">
        <v>1</v>
      </c>
      <c r="H805" s="1">
        <v>2506350</v>
      </c>
      <c r="I805" s="1">
        <v>1879762</v>
      </c>
      <c r="J805" t="s">
        <v>31</v>
      </c>
      <c r="K805" s="1">
        <f>Tabla1[[#This Row],[cantidad]]*Tabla1[[#This Row],[precio_unitario]]</f>
        <v>2506350</v>
      </c>
      <c r="L805" s="1">
        <f>Tabla1[[#This Row],[cantidad]]*Tabla1[[#This Row],[costo_unitario]]</f>
        <v>1879762</v>
      </c>
      <c r="M805" s="1">
        <f>Tabla1[[#This Row],[venta_total]]-Tabla1[[#This Row],[costo_total]]</f>
        <v>626588</v>
      </c>
      <c r="N805" s="3">
        <f>Tabla1[[#This Row],[margen]]/Tabla1[[#This Row],[venta_total]]</f>
        <v>0.25000019949328706</v>
      </c>
    </row>
    <row r="806" spans="1:14" x14ac:dyDescent="0.25">
      <c r="A806" s="2">
        <v>45424</v>
      </c>
      <c r="B806" t="s">
        <v>10</v>
      </c>
      <c r="C806" t="s">
        <v>11</v>
      </c>
      <c r="D806" t="s">
        <v>12</v>
      </c>
      <c r="E806" t="s">
        <v>16</v>
      </c>
      <c r="F806" t="s">
        <v>17</v>
      </c>
      <c r="G806">
        <v>1</v>
      </c>
      <c r="H806" s="1">
        <v>3525136</v>
      </c>
      <c r="I806" s="1">
        <v>2749606</v>
      </c>
      <c r="J806" t="s">
        <v>31</v>
      </c>
      <c r="K806" s="1">
        <f>Tabla1[[#This Row],[cantidad]]*Tabla1[[#This Row],[precio_unitario]]</f>
        <v>3525136</v>
      </c>
      <c r="L806" s="1">
        <f>Tabla1[[#This Row],[cantidad]]*Tabla1[[#This Row],[costo_unitario]]</f>
        <v>2749606</v>
      </c>
      <c r="M806" s="1">
        <f>Tabla1[[#This Row],[venta_total]]-Tabla1[[#This Row],[costo_total]]</f>
        <v>775530</v>
      </c>
      <c r="N806" s="3">
        <f>Tabla1[[#This Row],[margen]]/Tabla1[[#This Row],[venta_total]]</f>
        <v>0.22000002269415989</v>
      </c>
    </row>
    <row r="807" spans="1:14" x14ac:dyDescent="0.25">
      <c r="A807" s="2">
        <v>45409</v>
      </c>
      <c r="B807" t="s">
        <v>32</v>
      </c>
      <c r="C807" t="s">
        <v>11</v>
      </c>
      <c r="D807" t="s">
        <v>26</v>
      </c>
      <c r="E807" t="s">
        <v>16</v>
      </c>
      <c r="F807" t="s">
        <v>40</v>
      </c>
      <c r="G807">
        <v>1</v>
      </c>
      <c r="H807" s="1">
        <v>3751272</v>
      </c>
      <c r="I807" s="1">
        <v>2925992</v>
      </c>
      <c r="J807" t="s">
        <v>15</v>
      </c>
      <c r="K807" s="1">
        <f>Tabla1[[#This Row],[cantidad]]*Tabla1[[#This Row],[precio_unitario]]</f>
        <v>3751272</v>
      </c>
      <c r="L807" s="1">
        <f>Tabla1[[#This Row],[cantidad]]*Tabla1[[#This Row],[costo_unitario]]</f>
        <v>2925992</v>
      </c>
      <c r="M807" s="1">
        <f>Tabla1[[#This Row],[venta_total]]-Tabla1[[#This Row],[costo_total]]</f>
        <v>825280</v>
      </c>
      <c r="N807" s="3">
        <f>Tabla1[[#This Row],[margen]]/Tabla1[[#This Row],[venta_total]]</f>
        <v>0.22000004265219905</v>
      </c>
    </row>
    <row r="808" spans="1:14" x14ac:dyDescent="0.25">
      <c r="A808" s="2">
        <v>45341</v>
      </c>
      <c r="B808" t="s">
        <v>32</v>
      </c>
      <c r="C808" t="s">
        <v>11</v>
      </c>
      <c r="D808" t="s">
        <v>38</v>
      </c>
      <c r="E808" t="s">
        <v>16</v>
      </c>
      <c r="F808" t="s">
        <v>39</v>
      </c>
      <c r="G808">
        <v>1</v>
      </c>
      <c r="H808" s="1">
        <v>5393060</v>
      </c>
      <c r="I808" s="1">
        <v>4044795</v>
      </c>
      <c r="J808" t="s">
        <v>31</v>
      </c>
      <c r="K808" s="1">
        <f>Tabla1[[#This Row],[cantidad]]*Tabla1[[#This Row],[precio_unitario]]</f>
        <v>5393060</v>
      </c>
      <c r="L808" s="1">
        <f>Tabla1[[#This Row],[cantidad]]*Tabla1[[#This Row],[costo_unitario]]</f>
        <v>4044795</v>
      </c>
      <c r="M808" s="1">
        <f>Tabla1[[#This Row],[venta_total]]-Tabla1[[#This Row],[costo_total]]</f>
        <v>1348265</v>
      </c>
      <c r="N808" s="3">
        <f>Tabla1[[#This Row],[margen]]/Tabla1[[#This Row],[venta_total]]</f>
        <v>0.25</v>
      </c>
    </row>
    <row r="809" spans="1:14" x14ac:dyDescent="0.25">
      <c r="A809" s="2">
        <v>45307</v>
      </c>
      <c r="B809" t="s">
        <v>32</v>
      </c>
      <c r="C809" t="s">
        <v>11</v>
      </c>
      <c r="D809" t="s">
        <v>38</v>
      </c>
      <c r="E809" t="s">
        <v>13</v>
      </c>
      <c r="F809" t="s">
        <v>41</v>
      </c>
      <c r="G809">
        <v>1</v>
      </c>
      <c r="H809" s="1">
        <v>6387923</v>
      </c>
      <c r="I809" s="1">
        <v>5110338</v>
      </c>
      <c r="J809" t="s">
        <v>22</v>
      </c>
      <c r="K809" s="1">
        <f>Tabla1[[#This Row],[cantidad]]*Tabla1[[#This Row],[precio_unitario]]</f>
        <v>6387923</v>
      </c>
      <c r="L809" s="1">
        <f>Tabla1[[#This Row],[cantidad]]*Tabla1[[#This Row],[costo_unitario]]</f>
        <v>5110338</v>
      </c>
      <c r="M809" s="1">
        <f>Tabla1[[#This Row],[venta_total]]-Tabla1[[#This Row],[costo_total]]</f>
        <v>1277585</v>
      </c>
      <c r="N809" s="3">
        <f>Tabla1[[#This Row],[margen]]/Tabla1[[#This Row],[venta_total]]</f>
        <v>0.20000006261816242</v>
      </c>
    </row>
    <row r="810" spans="1:14" x14ac:dyDescent="0.25">
      <c r="A810" s="2">
        <v>45296</v>
      </c>
      <c r="B810" t="s">
        <v>10</v>
      </c>
      <c r="C810" t="s">
        <v>11</v>
      </c>
      <c r="D810" t="s">
        <v>23</v>
      </c>
      <c r="E810" t="s">
        <v>13</v>
      </c>
      <c r="F810" t="s">
        <v>28</v>
      </c>
      <c r="G810">
        <v>1</v>
      </c>
      <c r="H810" s="1">
        <v>2860674</v>
      </c>
      <c r="I810" s="1">
        <v>2288539</v>
      </c>
      <c r="J810" t="s">
        <v>22</v>
      </c>
      <c r="K810" s="1">
        <f>Tabla1[[#This Row],[cantidad]]*Tabla1[[#This Row],[precio_unitario]]</f>
        <v>2860674</v>
      </c>
      <c r="L810" s="1">
        <f>Tabla1[[#This Row],[cantidad]]*Tabla1[[#This Row],[costo_unitario]]</f>
        <v>2288539</v>
      </c>
      <c r="M810" s="1">
        <f>Tabla1[[#This Row],[venta_total]]-Tabla1[[#This Row],[costo_total]]</f>
        <v>572135</v>
      </c>
      <c r="N810" s="3">
        <f>Tabla1[[#This Row],[margen]]/Tabla1[[#This Row],[venta_total]]</f>
        <v>0.20000006991359379</v>
      </c>
    </row>
    <row r="811" spans="1:14" x14ac:dyDescent="0.25">
      <c r="A811" s="2">
        <v>45408</v>
      </c>
      <c r="B811" t="s">
        <v>18</v>
      </c>
      <c r="C811" t="s">
        <v>11</v>
      </c>
      <c r="D811" t="s">
        <v>23</v>
      </c>
      <c r="E811" t="s">
        <v>13</v>
      </c>
      <c r="F811" t="s">
        <v>28</v>
      </c>
      <c r="G811">
        <v>1</v>
      </c>
      <c r="H811" s="1">
        <v>3272213</v>
      </c>
      <c r="I811" s="1">
        <v>2617770</v>
      </c>
      <c r="J811" t="s">
        <v>31</v>
      </c>
      <c r="K811" s="1">
        <f>Tabla1[[#This Row],[cantidad]]*Tabla1[[#This Row],[precio_unitario]]</f>
        <v>3272213</v>
      </c>
      <c r="L811" s="1">
        <f>Tabla1[[#This Row],[cantidad]]*Tabla1[[#This Row],[costo_unitario]]</f>
        <v>2617770</v>
      </c>
      <c r="M811" s="1">
        <f>Tabla1[[#This Row],[venta_total]]-Tabla1[[#This Row],[costo_total]]</f>
        <v>654443</v>
      </c>
      <c r="N811" s="3">
        <f>Tabla1[[#This Row],[margen]]/Tabla1[[#This Row],[venta_total]]</f>
        <v>0.2000001222414311</v>
      </c>
    </row>
    <row r="812" spans="1:14" x14ac:dyDescent="0.25">
      <c r="A812" s="2">
        <v>45471</v>
      </c>
      <c r="B812" t="s">
        <v>18</v>
      </c>
      <c r="C812" t="s">
        <v>11</v>
      </c>
      <c r="D812" t="s">
        <v>19</v>
      </c>
      <c r="E812" t="s">
        <v>13</v>
      </c>
      <c r="F812" t="s">
        <v>33</v>
      </c>
      <c r="G812">
        <v>1</v>
      </c>
      <c r="H812" s="1">
        <v>1290305</v>
      </c>
      <c r="I812" s="1">
        <v>903213</v>
      </c>
      <c r="J812" t="s">
        <v>25</v>
      </c>
      <c r="K812" s="1">
        <f>Tabla1[[#This Row],[cantidad]]*Tabla1[[#This Row],[precio_unitario]]</f>
        <v>1290305</v>
      </c>
      <c r="L812" s="1">
        <f>Tabla1[[#This Row],[cantidad]]*Tabla1[[#This Row],[costo_unitario]]</f>
        <v>903213</v>
      </c>
      <c r="M812" s="1">
        <f>Tabla1[[#This Row],[venta_total]]-Tabla1[[#This Row],[costo_total]]</f>
        <v>387092</v>
      </c>
      <c r="N812" s="3">
        <f>Tabla1[[#This Row],[margen]]/Tabla1[[#This Row],[venta_total]]</f>
        <v>0.30000038750527974</v>
      </c>
    </row>
    <row r="813" spans="1:14" x14ac:dyDescent="0.25">
      <c r="A813" s="2">
        <v>45358</v>
      </c>
      <c r="B813" t="s">
        <v>10</v>
      </c>
      <c r="C813" t="s">
        <v>11</v>
      </c>
      <c r="D813" t="s">
        <v>19</v>
      </c>
      <c r="E813" t="s">
        <v>16</v>
      </c>
      <c r="F813" t="s">
        <v>35</v>
      </c>
      <c r="G813">
        <v>1</v>
      </c>
      <c r="H813" s="1">
        <v>679769</v>
      </c>
      <c r="I813" s="1">
        <v>441849</v>
      </c>
      <c r="J813" t="s">
        <v>25</v>
      </c>
      <c r="K813" s="1">
        <f>Tabla1[[#This Row],[cantidad]]*Tabla1[[#This Row],[precio_unitario]]</f>
        <v>679769</v>
      </c>
      <c r="L813" s="1">
        <f>Tabla1[[#This Row],[cantidad]]*Tabla1[[#This Row],[costo_unitario]]</f>
        <v>441849</v>
      </c>
      <c r="M813" s="1">
        <f>Tabla1[[#This Row],[venta_total]]-Tabla1[[#This Row],[costo_total]]</f>
        <v>237920</v>
      </c>
      <c r="N813" s="3">
        <f>Tabla1[[#This Row],[margen]]/Tabla1[[#This Row],[venta_total]]</f>
        <v>0.35000125042477664</v>
      </c>
    </row>
    <row r="814" spans="1:14" x14ac:dyDescent="0.25">
      <c r="A814" s="2">
        <v>45391</v>
      </c>
      <c r="B814" t="s">
        <v>18</v>
      </c>
      <c r="C814" t="s">
        <v>11</v>
      </c>
      <c r="D814" t="s">
        <v>38</v>
      </c>
      <c r="E814" t="s">
        <v>20</v>
      </c>
      <c r="F814" t="s">
        <v>42</v>
      </c>
      <c r="G814">
        <v>1</v>
      </c>
      <c r="H814" s="1">
        <v>2626591</v>
      </c>
      <c r="I814" s="1">
        <v>1891145</v>
      </c>
      <c r="J814" t="s">
        <v>15</v>
      </c>
      <c r="K814" s="1">
        <f>Tabla1[[#This Row],[cantidad]]*Tabla1[[#This Row],[precio_unitario]]</f>
        <v>2626591</v>
      </c>
      <c r="L814" s="1">
        <f>Tabla1[[#This Row],[cantidad]]*Tabla1[[#This Row],[costo_unitario]]</f>
        <v>1891145</v>
      </c>
      <c r="M814" s="1">
        <f>Tabla1[[#This Row],[venta_total]]-Tabla1[[#This Row],[costo_total]]</f>
        <v>735446</v>
      </c>
      <c r="N814" s="3">
        <f>Tabla1[[#This Row],[margen]]/Tabla1[[#This Row],[venta_total]]</f>
        <v>0.28000019797524622</v>
      </c>
    </row>
    <row r="815" spans="1:14" x14ac:dyDescent="0.25">
      <c r="A815" s="2">
        <v>45326</v>
      </c>
      <c r="B815" t="s">
        <v>18</v>
      </c>
      <c r="C815" t="s">
        <v>11</v>
      </c>
      <c r="D815" t="s">
        <v>12</v>
      </c>
      <c r="E815" t="s">
        <v>16</v>
      </c>
      <c r="F815" t="s">
        <v>17</v>
      </c>
      <c r="G815">
        <v>1</v>
      </c>
      <c r="H815" s="1">
        <v>3114947</v>
      </c>
      <c r="I815" s="1">
        <v>2429658</v>
      </c>
      <c r="J815" t="s">
        <v>15</v>
      </c>
      <c r="K815" s="1">
        <f>Tabla1[[#This Row],[cantidad]]*Tabla1[[#This Row],[precio_unitario]]</f>
        <v>3114947</v>
      </c>
      <c r="L815" s="1">
        <f>Tabla1[[#This Row],[cantidad]]*Tabla1[[#This Row],[costo_unitario]]</f>
        <v>2429658</v>
      </c>
      <c r="M815" s="1">
        <f>Tabla1[[#This Row],[venta_total]]-Tabla1[[#This Row],[costo_total]]</f>
        <v>685289</v>
      </c>
      <c r="N815" s="3">
        <f>Tabla1[[#This Row],[margen]]/Tabla1[[#This Row],[venta_total]]</f>
        <v>0.22000021188161467</v>
      </c>
    </row>
    <row r="816" spans="1:14" x14ac:dyDescent="0.25">
      <c r="A816" s="2">
        <v>45353</v>
      </c>
      <c r="B816" t="s">
        <v>32</v>
      </c>
      <c r="C816" t="s">
        <v>11</v>
      </c>
      <c r="D816" t="s">
        <v>12</v>
      </c>
      <c r="E816" t="s">
        <v>16</v>
      </c>
      <c r="F816" t="s">
        <v>17</v>
      </c>
      <c r="G816">
        <v>1</v>
      </c>
      <c r="H816" s="1">
        <v>3785663</v>
      </c>
      <c r="I816" s="1">
        <v>2952817</v>
      </c>
      <c r="J816" t="s">
        <v>31</v>
      </c>
      <c r="K816" s="1">
        <f>Tabla1[[#This Row],[cantidad]]*Tabla1[[#This Row],[precio_unitario]]</f>
        <v>3785663</v>
      </c>
      <c r="L816" s="1">
        <f>Tabla1[[#This Row],[cantidad]]*Tabla1[[#This Row],[costo_unitario]]</f>
        <v>2952817</v>
      </c>
      <c r="M816" s="1">
        <f>Tabla1[[#This Row],[venta_total]]-Tabla1[[#This Row],[costo_total]]</f>
        <v>832846</v>
      </c>
      <c r="N816" s="3">
        <f>Tabla1[[#This Row],[margen]]/Tabla1[[#This Row],[venta_total]]</f>
        <v>0.22000003698163306</v>
      </c>
    </row>
    <row r="817" spans="1:14" x14ac:dyDescent="0.25">
      <c r="A817" s="2">
        <v>45432</v>
      </c>
      <c r="B817" t="s">
        <v>34</v>
      </c>
      <c r="C817" t="s">
        <v>11</v>
      </c>
      <c r="D817" t="s">
        <v>26</v>
      </c>
      <c r="E817" t="s">
        <v>16</v>
      </c>
      <c r="F817" t="s">
        <v>40</v>
      </c>
      <c r="G817">
        <v>1</v>
      </c>
      <c r="H817" s="1">
        <v>3988881</v>
      </c>
      <c r="I817" s="1">
        <v>3111327</v>
      </c>
      <c r="J817" t="s">
        <v>15</v>
      </c>
      <c r="K817" s="1">
        <f>Tabla1[[#This Row],[cantidad]]*Tabla1[[#This Row],[precio_unitario]]</f>
        <v>3988881</v>
      </c>
      <c r="L817" s="1">
        <f>Tabla1[[#This Row],[cantidad]]*Tabla1[[#This Row],[costo_unitario]]</f>
        <v>3111327</v>
      </c>
      <c r="M817" s="1">
        <f>Tabla1[[#This Row],[venta_total]]-Tabla1[[#This Row],[costo_total]]</f>
        <v>877554</v>
      </c>
      <c r="N817" s="3">
        <f>Tabla1[[#This Row],[margen]]/Tabla1[[#This Row],[venta_total]]</f>
        <v>0.22000004512543744</v>
      </c>
    </row>
    <row r="818" spans="1:14" x14ac:dyDescent="0.25">
      <c r="A818" s="2">
        <v>45298</v>
      </c>
      <c r="B818" t="s">
        <v>32</v>
      </c>
      <c r="C818" t="s">
        <v>11</v>
      </c>
      <c r="D818" t="s">
        <v>23</v>
      </c>
      <c r="E818" t="s">
        <v>16</v>
      </c>
      <c r="F818" t="s">
        <v>24</v>
      </c>
      <c r="G818">
        <v>1</v>
      </c>
      <c r="H818" s="1">
        <v>1422490</v>
      </c>
      <c r="I818" s="1">
        <v>1066867</v>
      </c>
      <c r="J818" t="s">
        <v>22</v>
      </c>
      <c r="K818" s="1">
        <f>Tabla1[[#This Row],[cantidad]]*Tabla1[[#This Row],[precio_unitario]]</f>
        <v>1422490</v>
      </c>
      <c r="L818" s="1">
        <f>Tabla1[[#This Row],[cantidad]]*Tabla1[[#This Row],[costo_unitario]]</f>
        <v>1066867</v>
      </c>
      <c r="M818" s="1">
        <f>Tabla1[[#This Row],[venta_total]]-Tabla1[[#This Row],[costo_total]]</f>
        <v>355623</v>
      </c>
      <c r="N818" s="3">
        <f>Tabla1[[#This Row],[margen]]/Tabla1[[#This Row],[venta_total]]</f>
        <v>0.25000035149631983</v>
      </c>
    </row>
    <row r="819" spans="1:14" x14ac:dyDescent="0.25">
      <c r="A819" s="2">
        <v>45440</v>
      </c>
      <c r="B819" t="s">
        <v>34</v>
      </c>
      <c r="C819" t="s">
        <v>11</v>
      </c>
      <c r="D819" t="s">
        <v>38</v>
      </c>
      <c r="E819" t="s">
        <v>13</v>
      </c>
      <c r="F819" t="s">
        <v>41</v>
      </c>
      <c r="G819">
        <v>1</v>
      </c>
      <c r="H819" s="1">
        <v>6617998</v>
      </c>
      <c r="I819" s="1">
        <v>5294398</v>
      </c>
      <c r="J819" t="s">
        <v>29</v>
      </c>
      <c r="K819" s="1">
        <f>Tabla1[[#This Row],[cantidad]]*Tabla1[[#This Row],[precio_unitario]]</f>
        <v>6617998</v>
      </c>
      <c r="L819" s="1">
        <f>Tabla1[[#This Row],[cantidad]]*Tabla1[[#This Row],[costo_unitario]]</f>
        <v>5294398</v>
      </c>
      <c r="M819" s="1">
        <f>Tabla1[[#This Row],[venta_total]]-Tabla1[[#This Row],[costo_total]]</f>
        <v>1323600</v>
      </c>
      <c r="N819" s="3">
        <f>Tabla1[[#This Row],[margen]]/Tabla1[[#This Row],[venta_total]]</f>
        <v>0.20000006044123919</v>
      </c>
    </row>
    <row r="820" spans="1:14" x14ac:dyDescent="0.25">
      <c r="A820" s="2">
        <v>45349</v>
      </c>
      <c r="B820" t="s">
        <v>18</v>
      </c>
      <c r="C820" t="s">
        <v>11</v>
      </c>
      <c r="D820" t="s">
        <v>19</v>
      </c>
      <c r="E820" t="s">
        <v>13</v>
      </c>
      <c r="F820" t="s">
        <v>33</v>
      </c>
      <c r="G820">
        <v>1</v>
      </c>
      <c r="H820" s="1">
        <v>1216333</v>
      </c>
      <c r="I820" s="1">
        <v>851433</v>
      </c>
      <c r="J820" t="s">
        <v>31</v>
      </c>
      <c r="K820" s="1">
        <f>Tabla1[[#This Row],[cantidad]]*Tabla1[[#This Row],[precio_unitario]]</f>
        <v>1216333</v>
      </c>
      <c r="L820" s="1">
        <f>Tabla1[[#This Row],[cantidad]]*Tabla1[[#This Row],[costo_unitario]]</f>
        <v>851433</v>
      </c>
      <c r="M820" s="1">
        <f>Tabla1[[#This Row],[venta_total]]-Tabla1[[#This Row],[costo_total]]</f>
        <v>364900</v>
      </c>
      <c r="N820" s="3">
        <f>Tabla1[[#This Row],[margen]]/Tabla1[[#This Row],[venta_total]]</f>
        <v>0.30000008221432783</v>
      </c>
    </row>
    <row r="821" spans="1:14" x14ac:dyDescent="0.25">
      <c r="A821" s="2">
        <v>45470</v>
      </c>
      <c r="B821" t="s">
        <v>34</v>
      </c>
      <c r="C821" t="s">
        <v>11</v>
      </c>
      <c r="D821" t="s">
        <v>23</v>
      </c>
      <c r="E821" t="s">
        <v>13</v>
      </c>
      <c r="F821" t="s">
        <v>28</v>
      </c>
      <c r="G821">
        <v>1</v>
      </c>
      <c r="H821" s="1">
        <v>2439747</v>
      </c>
      <c r="I821" s="1">
        <v>1951797</v>
      </c>
      <c r="J821" t="s">
        <v>25</v>
      </c>
      <c r="K821" s="1">
        <f>Tabla1[[#This Row],[cantidad]]*Tabla1[[#This Row],[precio_unitario]]</f>
        <v>2439747</v>
      </c>
      <c r="L821" s="1">
        <f>Tabla1[[#This Row],[cantidad]]*Tabla1[[#This Row],[costo_unitario]]</f>
        <v>1951797</v>
      </c>
      <c r="M821" s="1">
        <f>Tabla1[[#This Row],[venta_total]]-Tabla1[[#This Row],[costo_total]]</f>
        <v>487950</v>
      </c>
      <c r="N821" s="3">
        <f>Tabla1[[#This Row],[margen]]/Tabla1[[#This Row],[venta_total]]</f>
        <v>0.20000024592713916</v>
      </c>
    </row>
    <row r="822" spans="1:14" x14ac:dyDescent="0.25">
      <c r="A822" s="2">
        <v>45301</v>
      </c>
      <c r="B822" t="s">
        <v>18</v>
      </c>
      <c r="C822" t="s">
        <v>11</v>
      </c>
      <c r="D822" t="s">
        <v>19</v>
      </c>
      <c r="E822" t="s">
        <v>16</v>
      </c>
      <c r="F822" t="s">
        <v>35</v>
      </c>
      <c r="G822">
        <v>2</v>
      </c>
      <c r="H822" s="1">
        <v>845736</v>
      </c>
      <c r="I822" s="1">
        <v>549728</v>
      </c>
      <c r="J822" t="s">
        <v>15</v>
      </c>
      <c r="K822" s="1">
        <f>Tabla1[[#This Row],[cantidad]]*Tabla1[[#This Row],[precio_unitario]]</f>
        <v>1691472</v>
      </c>
      <c r="L822" s="1">
        <f>Tabla1[[#This Row],[cantidad]]*Tabla1[[#This Row],[costo_unitario]]</f>
        <v>1099456</v>
      </c>
      <c r="M822" s="1">
        <f>Tabla1[[#This Row],[venta_total]]-Tabla1[[#This Row],[costo_total]]</f>
        <v>592016</v>
      </c>
      <c r="N822" s="3">
        <f>Tabla1[[#This Row],[margen]]/Tabla1[[#This Row],[venta_total]]</f>
        <v>0.35000047296082937</v>
      </c>
    </row>
    <row r="823" spans="1:14" x14ac:dyDescent="0.25">
      <c r="A823" s="2">
        <v>45358</v>
      </c>
      <c r="B823" t="s">
        <v>32</v>
      </c>
      <c r="C823" t="s">
        <v>11</v>
      </c>
      <c r="D823" t="s">
        <v>19</v>
      </c>
      <c r="E823" t="s">
        <v>16</v>
      </c>
      <c r="F823" t="s">
        <v>35</v>
      </c>
      <c r="G823">
        <v>3</v>
      </c>
      <c r="H823" s="1">
        <v>993657</v>
      </c>
      <c r="I823" s="1">
        <v>645877</v>
      </c>
      <c r="J823" t="s">
        <v>22</v>
      </c>
      <c r="K823" s="1">
        <f>Tabla1[[#This Row],[cantidad]]*Tabla1[[#This Row],[precio_unitario]]</f>
        <v>2980971</v>
      </c>
      <c r="L823" s="1">
        <f>Tabla1[[#This Row],[cantidad]]*Tabla1[[#This Row],[costo_unitario]]</f>
        <v>1937631</v>
      </c>
      <c r="M823" s="1">
        <f>Tabla1[[#This Row],[venta_total]]-Tabla1[[#This Row],[costo_total]]</f>
        <v>1043340</v>
      </c>
      <c r="N823" s="3">
        <f>Tabla1[[#This Row],[margen]]/Tabla1[[#This Row],[venta_total]]</f>
        <v>0.35000005031917453</v>
      </c>
    </row>
    <row r="824" spans="1:14" x14ac:dyDescent="0.25">
      <c r="A824" s="2">
        <v>45357</v>
      </c>
      <c r="B824" t="s">
        <v>32</v>
      </c>
      <c r="C824" t="s">
        <v>11</v>
      </c>
      <c r="D824" t="s">
        <v>23</v>
      </c>
      <c r="E824" t="s">
        <v>20</v>
      </c>
      <c r="F824" t="s">
        <v>30</v>
      </c>
      <c r="G824">
        <v>1</v>
      </c>
      <c r="H824" s="1">
        <v>1219336</v>
      </c>
      <c r="I824" s="1">
        <v>853535</v>
      </c>
      <c r="J824" t="s">
        <v>15</v>
      </c>
      <c r="K824" s="1">
        <f>Tabla1[[#This Row],[cantidad]]*Tabla1[[#This Row],[precio_unitario]]</f>
        <v>1219336</v>
      </c>
      <c r="L824" s="1">
        <f>Tabla1[[#This Row],[cantidad]]*Tabla1[[#This Row],[costo_unitario]]</f>
        <v>853535</v>
      </c>
      <c r="M824" s="1">
        <f>Tabla1[[#This Row],[venta_total]]-Tabla1[[#This Row],[costo_total]]</f>
        <v>365801</v>
      </c>
      <c r="N824" s="3">
        <f>Tabla1[[#This Row],[margen]]/Tabla1[[#This Row],[venta_total]]</f>
        <v>0.30000016402369817</v>
      </c>
    </row>
    <row r="825" spans="1:14" x14ac:dyDescent="0.25">
      <c r="A825" s="2">
        <v>45367</v>
      </c>
      <c r="B825" t="s">
        <v>32</v>
      </c>
      <c r="C825" t="s">
        <v>11</v>
      </c>
      <c r="D825" t="s">
        <v>19</v>
      </c>
      <c r="E825" t="s">
        <v>16</v>
      </c>
      <c r="F825" t="s">
        <v>35</v>
      </c>
      <c r="G825">
        <v>2</v>
      </c>
      <c r="H825" s="1">
        <v>979465</v>
      </c>
      <c r="I825" s="1">
        <v>636652</v>
      </c>
      <c r="J825" t="s">
        <v>31</v>
      </c>
      <c r="K825" s="1">
        <f>Tabla1[[#This Row],[cantidad]]*Tabla1[[#This Row],[precio_unitario]]</f>
        <v>1958930</v>
      </c>
      <c r="L825" s="1">
        <f>Tabla1[[#This Row],[cantidad]]*Tabla1[[#This Row],[costo_unitario]]</f>
        <v>1273304</v>
      </c>
      <c r="M825" s="1">
        <f>Tabla1[[#This Row],[venta_total]]-Tabla1[[#This Row],[costo_total]]</f>
        <v>685626</v>
      </c>
      <c r="N825" s="3">
        <f>Tabla1[[#This Row],[margen]]/Tabla1[[#This Row],[venta_total]]</f>
        <v>0.35000025524138179</v>
      </c>
    </row>
    <row r="826" spans="1:14" x14ac:dyDescent="0.25">
      <c r="A826" s="2">
        <v>45389</v>
      </c>
      <c r="B826" t="s">
        <v>18</v>
      </c>
      <c r="C826" t="s">
        <v>11</v>
      </c>
      <c r="D826" t="s">
        <v>23</v>
      </c>
      <c r="E826" t="s">
        <v>20</v>
      </c>
      <c r="F826" t="s">
        <v>30</v>
      </c>
      <c r="G826">
        <v>1</v>
      </c>
      <c r="H826" s="1">
        <v>1002463</v>
      </c>
      <c r="I826" s="1">
        <v>701724</v>
      </c>
      <c r="J826" t="s">
        <v>31</v>
      </c>
      <c r="K826" s="1">
        <f>Tabla1[[#This Row],[cantidad]]*Tabla1[[#This Row],[precio_unitario]]</f>
        <v>1002463</v>
      </c>
      <c r="L826" s="1">
        <f>Tabla1[[#This Row],[cantidad]]*Tabla1[[#This Row],[costo_unitario]]</f>
        <v>701724</v>
      </c>
      <c r="M826" s="1">
        <f>Tabla1[[#This Row],[venta_total]]-Tabla1[[#This Row],[costo_total]]</f>
        <v>300739</v>
      </c>
      <c r="N826" s="3">
        <f>Tabla1[[#This Row],[margen]]/Tabla1[[#This Row],[venta_total]]</f>
        <v>0.30000009975430514</v>
      </c>
    </row>
    <row r="827" spans="1:14" x14ac:dyDescent="0.25">
      <c r="A827" s="2">
        <v>45415</v>
      </c>
      <c r="B827" t="s">
        <v>10</v>
      </c>
      <c r="C827" t="s">
        <v>11</v>
      </c>
      <c r="D827" t="s">
        <v>26</v>
      </c>
      <c r="E827" t="s">
        <v>16</v>
      </c>
      <c r="F827" t="s">
        <v>40</v>
      </c>
      <c r="G827">
        <v>1</v>
      </c>
      <c r="H827" s="1">
        <v>4395501</v>
      </c>
      <c r="I827" s="1">
        <v>3428490</v>
      </c>
      <c r="J827" t="s">
        <v>29</v>
      </c>
      <c r="K827" s="1">
        <f>Tabla1[[#This Row],[cantidad]]*Tabla1[[#This Row],[precio_unitario]]</f>
        <v>4395501</v>
      </c>
      <c r="L827" s="1">
        <f>Tabla1[[#This Row],[cantidad]]*Tabla1[[#This Row],[costo_unitario]]</f>
        <v>3428490</v>
      </c>
      <c r="M827" s="1">
        <f>Tabla1[[#This Row],[venta_total]]-Tabla1[[#This Row],[costo_total]]</f>
        <v>967011</v>
      </c>
      <c r="N827" s="3">
        <f>Tabla1[[#This Row],[margen]]/Tabla1[[#This Row],[venta_total]]</f>
        <v>0.22000017745417416</v>
      </c>
    </row>
    <row r="828" spans="1:14" x14ac:dyDescent="0.25">
      <c r="A828" s="2">
        <v>45414</v>
      </c>
      <c r="B828" t="s">
        <v>18</v>
      </c>
      <c r="C828" t="s">
        <v>11</v>
      </c>
      <c r="D828" t="s">
        <v>26</v>
      </c>
      <c r="E828" t="s">
        <v>20</v>
      </c>
      <c r="F828" t="s">
        <v>36</v>
      </c>
      <c r="G828">
        <v>1</v>
      </c>
      <c r="H828" s="1">
        <v>2224612</v>
      </c>
      <c r="I828" s="1">
        <v>1668459</v>
      </c>
      <c r="J828" t="s">
        <v>15</v>
      </c>
      <c r="K828" s="1">
        <f>Tabla1[[#This Row],[cantidad]]*Tabla1[[#This Row],[precio_unitario]]</f>
        <v>2224612</v>
      </c>
      <c r="L828" s="1">
        <f>Tabla1[[#This Row],[cantidad]]*Tabla1[[#This Row],[costo_unitario]]</f>
        <v>1668459</v>
      </c>
      <c r="M828" s="1">
        <f>Tabla1[[#This Row],[venta_total]]-Tabla1[[#This Row],[costo_total]]</f>
        <v>556153</v>
      </c>
      <c r="N828" s="3">
        <f>Tabla1[[#This Row],[margen]]/Tabla1[[#This Row],[venta_total]]</f>
        <v>0.25</v>
      </c>
    </row>
    <row r="829" spans="1:14" x14ac:dyDescent="0.25">
      <c r="A829" s="2">
        <v>45353</v>
      </c>
      <c r="B829" t="s">
        <v>18</v>
      </c>
      <c r="C829" t="s">
        <v>11</v>
      </c>
      <c r="D829" t="s">
        <v>19</v>
      </c>
      <c r="E829" t="s">
        <v>16</v>
      </c>
      <c r="F829" t="s">
        <v>35</v>
      </c>
      <c r="G829">
        <v>3</v>
      </c>
      <c r="H829" s="1">
        <v>775114</v>
      </c>
      <c r="I829" s="1">
        <v>503824</v>
      </c>
      <c r="J829" t="s">
        <v>22</v>
      </c>
      <c r="K829" s="1">
        <f>Tabla1[[#This Row],[cantidad]]*Tabla1[[#This Row],[precio_unitario]]</f>
        <v>2325342</v>
      </c>
      <c r="L829" s="1">
        <f>Tabla1[[#This Row],[cantidad]]*Tabla1[[#This Row],[costo_unitario]]</f>
        <v>1511472</v>
      </c>
      <c r="M829" s="1">
        <f>Tabla1[[#This Row],[venta_total]]-Tabla1[[#This Row],[costo_total]]</f>
        <v>813870</v>
      </c>
      <c r="N829" s="3">
        <f>Tabla1[[#This Row],[margen]]/Tabla1[[#This Row],[venta_total]]</f>
        <v>0.35000012901328065</v>
      </c>
    </row>
    <row r="830" spans="1:14" x14ac:dyDescent="0.25">
      <c r="A830" s="2">
        <v>45464</v>
      </c>
      <c r="B830" t="s">
        <v>32</v>
      </c>
      <c r="C830" t="s">
        <v>11</v>
      </c>
      <c r="D830" t="s">
        <v>26</v>
      </c>
      <c r="E830" t="s">
        <v>20</v>
      </c>
      <c r="F830" t="s">
        <v>36</v>
      </c>
      <c r="G830">
        <v>1</v>
      </c>
      <c r="H830" s="1">
        <v>2873627</v>
      </c>
      <c r="I830" s="1">
        <v>2155220</v>
      </c>
      <c r="J830" t="s">
        <v>22</v>
      </c>
      <c r="K830" s="1">
        <f>Tabla1[[#This Row],[cantidad]]*Tabla1[[#This Row],[precio_unitario]]</f>
        <v>2873627</v>
      </c>
      <c r="L830" s="1">
        <f>Tabla1[[#This Row],[cantidad]]*Tabla1[[#This Row],[costo_unitario]]</f>
        <v>2155220</v>
      </c>
      <c r="M830" s="1">
        <f>Tabla1[[#This Row],[venta_total]]-Tabla1[[#This Row],[costo_total]]</f>
        <v>718407</v>
      </c>
      <c r="N830" s="3">
        <f>Tabla1[[#This Row],[margen]]/Tabla1[[#This Row],[venta_total]]</f>
        <v>0.25000008699806897</v>
      </c>
    </row>
    <row r="831" spans="1:14" x14ac:dyDescent="0.25">
      <c r="A831" s="2">
        <v>45409</v>
      </c>
      <c r="B831" t="s">
        <v>32</v>
      </c>
      <c r="C831" t="s">
        <v>11</v>
      </c>
      <c r="D831" t="s">
        <v>12</v>
      </c>
      <c r="E831" t="s">
        <v>20</v>
      </c>
      <c r="F831" t="s">
        <v>37</v>
      </c>
      <c r="G831">
        <v>1</v>
      </c>
      <c r="H831" s="1">
        <v>2132221</v>
      </c>
      <c r="I831" s="1">
        <v>1599165</v>
      </c>
      <c r="J831" t="s">
        <v>22</v>
      </c>
      <c r="K831" s="1">
        <f>Tabla1[[#This Row],[cantidad]]*Tabla1[[#This Row],[precio_unitario]]</f>
        <v>2132221</v>
      </c>
      <c r="L831" s="1">
        <f>Tabla1[[#This Row],[cantidad]]*Tabla1[[#This Row],[costo_unitario]]</f>
        <v>1599165</v>
      </c>
      <c r="M831" s="1">
        <f>Tabla1[[#This Row],[venta_total]]-Tabla1[[#This Row],[costo_total]]</f>
        <v>533056</v>
      </c>
      <c r="N831" s="3">
        <f>Tabla1[[#This Row],[margen]]/Tabla1[[#This Row],[venta_total]]</f>
        <v>0.25000035174590252</v>
      </c>
    </row>
    <row r="832" spans="1:14" x14ac:dyDescent="0.25">
      <c r="A832" s="2">
        <v>45419</v>
      </c>
      <c r="B832" t="s">
        <v>32</v>
      </c>
      <c r="C832" t="s">
        <v>11</v>
      </c>
      <c r="D832" t="s">
        <v>12</v>
      </c>
      <c r="E832" t="s">
        <v>20</v>
      </c>
      <c r="F832" t="s">
        <v>37</v>
      </c>
      <c r="G832">
        <v>1</v>
      </c>
      <c r="H832" s="1">
        <v>1941369</v>
      </c>
      <c r="I832" s="1">
        <v>1456026</v>
      </c>
      <c r="J832" t="s">
        <v>31</v>
      </c>
      <c r="K832" s="1">
        <f>Tabla1[[#This Row],[cantidad]]*Tabla1[[#This Row],[precio_unitario]]</f>
        <v>1941369</v>
      </c>
      <c r="L832" s="1">
        <f>Tabla1[[#This Row],[cantidad]]*Tabla1[[#This Row],[costo_unitario]]</f>
        <v>1456026</v>
      </c>
      <c r="M832" s="1">
        <f>Tabla1[[#This Row],[venta_total]]-Tabla1[[#This Row],[costo_total]]</f>
        <v>485343</v>
      </c>
      <c r="N832" s="3">
        <f>Tabla1[[#This Row],[margen]]/Tabla1[[#This Row],[venta_total]]</f>
        <v>0.2500003863253199</v>
      </c>
    </row>
    <row r="833" spans="1:14" x14ac:dyDescent="0.25">
      <c r="A833" s="2">
        <v>45369</v>
      </c>
      <c r="B833" t="s">
        <v>34</v>
      </c>
      <c r="C833" t="s">
        <v>11</v>
      </c>
      <c r="D833" t="s">
        <v>12</v>
      </c>
      <c r="E833" t="s">
        <v>16</v>
      </c>
      <c r="F833" t="s">
        <v>17</v>
      </c>
      <c r="G833">
        <v>1</v>
      </c>
      <c r="H833" s="1">
        <v>3720097</v>
      </c>
      <c r="I833" s="1">
        <v>2901675</v>
      </c>
      <c r="J833" t="s">
        <v>15</v>
      </c>
      <c r="K833" s="1">
        <f>Tabla1[[#This Row],[cantidad]]*Tabla1[[#This Row],[precio_unitario]]</f>
        <v>3720097</v>
      </c>
      <c r="L833" s="1">
        <f>Tabla1[[#This Row],[cantidad]]*Tabla1[[#This Row],[costo_unitario]]</f>
        <v>2901675</v>
      </c>
      <c r="M833" s="1">
        <f>Tabla1[[#This Row],[venta_total]]-Tabla1[[#This Row],[costo_total]]</f>
        <v>818422</v>
      </c>
      <c r="N833" s="3">
        <f>Tabla1[[#This Row],[margen]]/Tabla1[[#This Row],[venta_total]]</f>
        <v>0.22000017741472871</v>
      </c>
    </row>
    <row r="834" spans="1:14" x14ac:dyDescent="0.25">
      <c r="A834" s="2">
        <v>45379</v>
      </c>
      <c r="B834" t="s">
        <v>10</v>
      </c>
      <c r="C834" t="s">
        <v>11</v>
      </c>
      <c r="D834" t="s">
        <v>19</v>
      </c>
      <c r="E834" t="s">
        <v>20</v>
      </c>
      <c r="F834" t="s">
        <v>21</v>
      </c>
      <c r="G834">
        <v>2</v>
      </c>
      <c r="H834" s="1">
        <v>581256</v>
      </c>
      <c r="I834" s="1">
        <v>348753</v>
      </c>
      <c r="J834" t="s">
        <v>25</v>
      </c>
      <c r="K834" s="1">
        <f>Tabla1[[#This Row],[cantidad]]*Tabla1[[#This Row],[precio_unitario]]</f>
        <v>1162512</v>
      </c>
      <c r="L834" s="1">
        <f>Tabla1[[#This Row],[cantidad]]*Tabla1[[#This Row],[costo_unitario]]</f>
        <v>697506</v>
      </c>
      <c r="M834" s="1">
        <f>Tabla1[[#This Row],[venta_total]]-Tabla1[[#This Row],[costo_total]]</f>
        <v>465006</v>
      </c>
      <c r="N834" s="3">
        <f>Tabla1[[#This Row],[margen]]/Tabla1[[#This Row],[venta_total]]</f>
        <v>0.40000103224740907</v>
      </c>
    </row>
    <row r="835" spans="1:14" x14ac:dyDescent="0.25">
      <c r="A835" s="2">
        <v>45406</v>
      </c>
      <c r="B835" t="s">
        <v>10</v>
      </c>
      <c r="C835" t="s">
        <v>11</v>
      </c>
      <c r="D835" t="s">
        <v>12</v>
      </c>
      <c r="E835" t="s">
        <v>20</v>
      </c>
      <c r="F835" t="s">
        <v>37</v>
      </c>
      <c r="G835">
        <v>1</v>
      </c>
      <c r="H835" s="1">
        <v>2173127</v>
      </c>
      <c r="I835" s="1">
        <v>1629845</v>
      </c>
      <c r="J835" t="s">
        <v>25</v>
      </c>
      <c r="K835" s="1">
        <f>Tabla1[[#This Row],[cantidad]]*Tabla1[[#This Row],[precio_unitario]]</f>
        <v>2173127</v>
      </c>
      <c r="L835" s="1">
        <f>Tabla1[[#This Row],[cantidad]]*Tabla1[[#This Row],[costo_unitario]]</f>
        <v>1629845</v>
      </c>
      <c r="M835" s="1">
        <f>Tabla1[[#This Row],[venta_total]]-Tabla1[[#This Row],[costo_total]]</f>
        <v>543282</v>
      </c>
      <c r="N835" s="3">
        <f>Tabla1[[#This Row],[margen]]/Tabla1[[#This Row],[venta_total]]</f>
        <v>0.25000011504159675</v>
      </c>
    </row>
    <row r="836" spans="1:14" x14ac:dyDescent="0.25">
      <c r="A836" s="2">
        <v>45298</v>
      </c>
      <c r="B836" t="s">
        <v>10</v>
      </c>
      <c r="C836" t="s">
        <v>11</v>
      </c>
      <c r="D836" t="s">
        <v>23</v>
      </c>
      <c r="E836" t="s">
        <v>16</v>
      </c>
      <c r="F836" t="s">
        <v>24</v>
      </c>
      <c r="G836">
        <v>1</v>
      </c>
      <c r="H836" s="1">
        <v>1538377</v>
      </c>
      <c r="I836" s="1">
        <v>1153782</v>
      </c>
      <c r="J836" t="s">
        <v>25</v>
      </c>
      <c r="K836" s="1">
        <f>Tabla1[[#This Row],[cantidad]]*Tabla1[[#This Row],[precio_unitario]]</f>
        <v>1538377</v>
      </c>
      <c r="L836" s="1">
        <f>Tabla1[[#This Row],[cantidad]]*Tabla1[[#This Row],[costo_unitario]]</f>
        <v>1153782</v>
      </c>
      <c r="M836" s="1">
        <f>Tabla1[[#This Row],[venta_total]]-Tabla1[[#This Row],[costo_total]]</f>
        <v>384595</v>
      </c>
      <c r="N836" s="3">
        <f>Tabla1[[#This Row],[margen]]/Tabla1[[#This Row],[venta_total]]</f>
        <v>0.25000048752678961</v>
      </c>
    </row>
    <row r="837" spans="1:14" x14ac:dyDescent="0.25">
      <c r="A837" s="2">
        <v>45440</v>
      </c>
      <c r="B837" t="s">
        <v>10</v>
      </c>
      <c r="C837" t="s">
        <v>11</v>
      </c>
      <c r="D837" t="s">
        <v>38</v>
      </c>
      <c r="E837" t="s">
        <v>13</v>
      </c>
      <c r="F837" t="s">
        <v>41</v>
      </c>
      <c r="G837">
        <v>1</v>
      </c>
      <c r="H837" s="1">
        <v>7712888</v>
      </c>
      <c r="I837" s="1">
        <v>6170310</v>
      </c>
      <c r="J837" t="s">
        <v>29</v>
      </c>
      <c r="K837" s="1">
        <f>Tabla1[[#This Row],[cantidad]]*Tabla1[[#This Row],[precio_unitario]]</f>
        <v>7712888</v>
      </c>
      <c r="L837" s="1">
        <f>Tabla1[[#This Row],[cantidad]]*Tabla1[[#This Row],[costo_unitario]]</f>
        <v>6170310</v>
      </c>
      <c r="M837" s="1">
        <f>Tabla1[[#This Row],[venta_total]]-Tabla1[[#This Row],[costo_total]]</f>
        <v>1542578</v>
      </c>
      <c r="N837" s="3">
        <f>Tabla1[[#This Row],[margen]]/Tabla1[[#This Row],[venta_total]]</f>
        <v>0.20000005186124833</v>
      </c>
    </row>
    <row r="838" spans="1:14" x14ac:dyDescent="0.25">
      <c r="A838" s="2">
        <v>45317</v>
      </c>
      <c r="B838" t="s">
        <v>18</v>
      </c>
      <c r="C838" t="s">
        <v>11</v>
      </c>
      <c r="D838" t="s">
        <v>12</v>
      </c>
      <c r="E838" t="s">
        <v>13</v>
      </c>
      <c r="F838" t="s">
        <v>14</v>
      </c>
      <c r="G838">
        <v>1</v>
      </c>
      <c r="H838" s="1">
        <v>4660909</v>
      </c>
      <c r="I838" s="1">
        <v>3728727</v>
      </c>
      <c r="J838" t="s">
        <v>29</v>
      </c>
      <c r="K838" s="1">
        <f>Tabla1[[#This Row],[cantidad]]*Tabla1[[#This Row],[precio_unitario]]</f>
        <v>4660909</v>
      </c>
      <c r="L838" s="1">
        <f>Tabla1[[#This Row],[cantidad]]*Tabla1[[#This Row],[costo_unitario]]</f>
        <v>3728727</v>
      </c>
      <c r="M838" s="1">
        <f>Tabla1[[#This Row],[venta_total]]-Tabla1[[#This Row],[costo_total]]</f>
        <v>932182</v>
      </c>
      <c r="N838" s="3">
        <f>Tabla1[[#This Row],[margen]]/Tabla1[[#This Row],[venta_total]]</f>
        <v>0.20000004291008472</v>
      </c>
    </row>
    <row r="839" spans="1:14" x14ac:dyDescent="0.25">
      <c r="A839" s="2">
        <v>45410</v>
      </c>
      <c r="B839" t="s">
        <v>18</v>
      </c>
      <c r="C839" t="s">
        <v>11</v>
      </c>
      <c r="D839" t="s">
        <v>26</v>
      </c>
      <c r="E839" t="s">
        <v>13</v>
      </c>
      <c r="F839" t="s">
        <v>27</v>
      </c>
      <c r="G839">
        <v>1</v>
      </c>
      <c r="H839" s="1">
        <v>5630422</v>
      </c>
      <c r="I839" s="1">
        <v>4504337</v>
      </c>
      <c r="J839" t="s">
        <v>31</v>
      </c>
      <c r="K839" s="1">
        <f>Tabla1[[#This Row],[cantidad]]*Tabla1[[#This Row],[precio_unitario]]</f>
        <v>5630422</v>
      </c>
      <c r="L839" s="1">
        <f>Tabla1[[#This Row],[cantidad]]*Tabla1[[#This Row],[costo_unitario]]</f>
        <v>4504337</v>
      </c>
      <c r="M839" s="1">
        <f>Tabla1[[#This Row],[venta_total]]-Tabla1[[#This Row],[costo_total]]</f>
        <v>1126085</v>
      </c>
      <c r="N839" s="3">
        <f>Tabla1[[#This Row],[margen]]/Tabla1[[#This Row],[venta_total]]</f>
        <v>0.20000010656394848</v>
      </c>
    </row>
    <row r="840" spans="1:14" x14ac:dyDescent="0.25">
      <c r="A840" s="2">
        <v>45462</v>
      </c>
      <c r="B840" t="s">
        <v>34</v>
      </c>
      <c r="C840" t="s">
        <v>11</v>
      </c>
      <c r="D840" t="s">
        <v>26</v>
      </c>
      <c r="E840" t="s">
        <v>16</v>
      </c>
      <c r="F840" t="s">
        <v>40</v>
      </c>
      <c r="G840">
        <v>1</v>
      </c>
      <c r="H840" s="1">
        <v>4233817</v>
      </c>
      <c r="I840" s="1">
        <v>3302377</v>
      </c>
      <c r="J840" t="s">
        <v>22</v>
      </c>
      <c r="K840" s="1">
        <f>Tabla1[[#This Row],[cantidad]]*Tabla1[[#This Row],[precio_unitario]]</f>
        <v>4233817</v>
      </c>
      <c r="L840" s="1">
        <f>Tabla1[[#This Row],[cantidad]]*Tabla1[[#This Row],[costo_unitario]]</f>
        <v>3302377</v>
      </c>
      <c r="M840" s="1">
        <f>Tabla1[[#This Row],[venta_total]]-Tabla1[[#This Row],[costo_total]]</f>
        <v>931440</v>
      </c>
      <c r="N840" s="3">
        <f>Tabla1[[#This Row],[margen]]/Tabla1[[#This Row],[venta_total]]</f>
        <v>0.22000006141030659</v>
      </c>
    </row>
    <row r="841" spans="1:14" x14ac:dyDescent="0.25">
      <c r="A841" s="2">
        <v>45420</v>
      </c>
      <c r="B841" t="s">
        <v>10</v>
      </c>
      <c r="C841" t="s">
        <v>11</v>
      </c>
      <c r="D841" t="s">
        <v>12</v>
      </c>
      <c r="E841" t="s">
        <v>13</v>
      </c>
      <c r="F841" t="s">
        <v>14</v>
      </c>
      <c r="G841">
        <v>1</v>
      </c>
      <c r="H841" s="1">
        <v>4444964</v>
      </c>
      <c r="I841" s="1">
        <v>3555971</v>
      </c>
      <c r="J841" t="s">
        <v>22</v>
      </c>
      <c r="K841" s="1">
        <f>Tabla1[[#This Row],[cantidad]]*Tabla1[[#This Row],[precio_unitario]]</f>
        <v>4444964</v>
      </c>
      <c r="L841" s="1">
        <f>Tabla1[[#This Row],[cantidad]]*Tabla1[[#This Row],[costo_unitario]]</f>
        <v>3555971</v>
      </c>
      <c r="M841" s="1">
        <f>Tabla1[[#This Row],[venta_total]]-Tabla1[[#This Row],[costo_total]]</f>
        <v>888993</v>
      </c>
      <c r="N841" s="3">
        <f>Tabla1[[#This Row],[margen]]/Tabla1[[#This Row],[venta_total]]</f>
        <v>0.20000004499474011</v>
      </c>
    </row>
    <row r="842" spans="1:14" x14ac:dyDescent="0.25">
      <c r="A842" s="2">
        <v>45348</v>
      </c>
      <c r="B842" t="s">
        <v>10</v>
      </c>
      <c r="C842" t="s">
        <v>11</v>
      </c>
      <c r="D842" t="s">
        <v>23</v>
      </c>
      <c r="E842" t="s">
        <v>16</v>
      </c>
      <c r="F842" t="s">
        <v>24</v>
      </c>
      <c r="G842">
        <v>1</v>
      </c>
      <c r="H842" s="1">
        <v>1370346</v>
      </c>
      <c r="I842" s="1">
        <v>1027759</v>
      </c>
      <c r="J842" t="s">
        <v>15</v>
      </c>
      <c r="K842" s="1">
        <f>Tabla1[[#This Row],[cantidad]]*Tabla1[[#This Row],[precio_unitario]]</f>
        <v>1370346</v>
      </c>
      <c r="L842" s="1">
        <f>Tabla1[[#This Row],[cantidad]]*Tabla1[[#This Row],[costo_unitario]]</f>
        <v>1027759</v>
      </c>
      <c r="M842" s="1">
        <f>Tabla1[[#This Row],[venta_total]]-Tabla1[[#This Row],[costo_total]]</f>
        <v>342587</v>
      </c>
      <c r="N842" s="3">
        <f>Tabla1[[#This Row],[margen]]/Tabla1[[#This Row],[venta_total]]</f>
        <v>0.25000036487135363</v>
      </c>
    </row>
    <row r="843" spans="1:14" x14ac:dyDescent="0.25">
      <c r="A843" s="2">
        <v>45372</v>
      </c>
      <c r="B843" t="s">
        <v>10</v>
      </c>
      <c r="C843" t="s">
        <v>11</v>
      </c>
      <c r="D843" t="s">
        <v>23</v>
      </c>
      <c r="E843" t="s">
        <v>13</v>
      </c>
      <c r="F843" t="s">
        <v>28</v>
      </c>
      <c r="G843">
        <v>1</v>
      </c>
      <c r="H843" s="1">
        <v>2887038</v>
      </c>
      <c r="I843" s="1">
        <v>2309630</v>
      </c>
      <c r="J843" t="s">
        <v>31</v>
      </c>
      <c r="K843" s="1">
        <f>Tabla1[[#This Row],[cantidad]]*Tabla1[[#This Row],[precio_unitario]]</f>
        <v>2887038</v>
      </c>
      <c r="L843" s="1">
        <f>Tabla1[[#This Row],[cantidad]]*Tabla1[[#This Row],[costo_unitario]]</f>
        <v>2309630</v>
      </c>
      <c r="M843" s="1">
        <f>Tabla1[[#This Row],[venta_total]]-Tabla1[[#This Row],[costo_total]]</f>
        <v>577408</v>
      </c>
      <c r="N843" s="3">
        <f>Tabla1[[#This Row],[margen]]/Tabla1[[#This Row],[venta_total]]</f>
        <v>0.20000013855030657</v>
      </c>
    </row>
    <row r="844" spans="1:14" x14ac:dyDescent="0.25">
      <c r="A844" s="2">
        <v>45379</v>
      </c>
      <c r="B844" t="s">
        <v>10</v>
      </c>
      <c r="C844" t="s">
        <v>11</v>
      </c>
      <c r="D844" t="s">
        <v>12</v>
      </c>
      <c r="E844" t="s">
        <v>16</v>
      </c>
      <c r="F844" t="s">
        <v>17</v>
      </c>
      <c r="G844">
        <v>1</v>
      </c>
      <c r="H844" s="1">
        <v>2939410</v>
      </c>
      <c r="I844" s="1">
        <v>2292739</v>
      </c>
      <c r="J844" t="s">
        <v>25</v>
      </c>
      <c r="K844" s="1">
        <f>Tabla1[[#This Row],[cantidad]]*Tabla1[[#This Row],[precio_unitario]]</f>
        <v>2939410</v>
      </c>
      <c r="L844" s="1">
        <f>Tabla1[[#This Row],[cantidad]]*Tabla1[[#This Row],[costo_unitario]]</f>
        <v>2292739</v>
      </c>
      <c r="M844" s="1">
        <f>Tabla1[[#This Row],[venta_total]]-Tabla1[[#This Row],[costo_total]]</f>
        <v>646671</v>
      </c>
      <c r="N844" s="3">
        <f>Tabla1[[#This Row],[margen]]/Tabla1[[#This Row],[venta_total]]</f>
        <v>0.22000027216346138</v>
      </c>
    </row>
    <row r="845" spans="1:14" x14ac:dyDescent="0.25">
      <c r="A845" s="2">
        <v>45386</v>
      </c>
      <c r="B845" t="s">
        <v>10</v>
      </c>
      <c r="C845" t="s">
        <v>11</v>
      </c>
      <c r="D845" t="s">
        <v>26</v>
      </c>
      <c r="E845" t="s">
        <v>13</v>
      </c>
      <c r="F845" t="s">
        <v>27</v>
      </c>
      <c r="G845">
        <v>1</v>
      </c>
      <c r="H845" s="1">
        <v>7204091</v>
      </c>
      <c r="I845" s="1">
        <v>5763272</v>
      </c>
      <c r="J845" t="s">
        <v>25</v>
      </c>
      <c r="K845" s="1">
        <f>Tabla1[[#This Row],[cantidad]]*Tabla1[[#This Row],[precio_unitario]]</f>
        <v>7204091</v>
      </c>
      <c r="L845" s="1">
        <f>Tabla1[[#This Row],[cantidad]]*Tabla1[[#This Row],[costo_unitario]]</f>
        <v>5763272</v>
      </c>
      <c r="M845" s="1">
        <f>Tabla1[[#This Row],[venta_total]]-Tabla1[[#This Row],[costo_total]]</f>
        <v>1440819</v>
      </c>
      <c r="N845" s="3">
        <f>Tabla1[[#This Row],[margen]]/Tabla1[[#This Row],[venta_total]]</f>
        <v>0.20000011104801424</v>
      </c>
    </row>
    <row r="846" spans="1:14" x14ac:dyDescent="0.25">
      <c r="A846" s="2">
        <v>45446</v>
      </c>
      <c r="B846" t="s">
        <v>32</v>
      </c>
      <c r="C846" t="s">
        <v>11</v>
      </c>
      <c r="D846" t="s">
        <v>19</v>
      </c>
      <c r="E846" t="s">
        <v>16</v>
      </c>
      <c r="F846" t="s">
        <v>35</v>
      </c>
      <c r="G846">
        <v>3</v>
      </c>
      <c r="H846" s="1">
        <v>1059177</v>
      </c>
      <c r="I846" s="1">
        <v>688465</v>
      </c>
      <c r="J846" t="s">
        <v>22</v>
      </c>
      <c r="K846" s="1">
        <f>Tabla1[[#This Row],[cantidad]]*Tabla1[[#This Row],[precio_unitario]]</f>
        <v>3177531</v>
      </c>
      <c r="L846" s="1">
        <f>Tabla1[[#This Row],[cantidad]]*Tabla1[[#This Row],[costo_unitario]]</f>
        <v>2065395</v>
      </c>
      <c r="M846" s="1">
        <f>Tabla1[[#This Row],[venta_total]]-Tabla1[[#This Row],[costo_total]]</f>
        <v>1112136</v>
      </c>
      <c r="N846" s="3">
        <f>Tabla1[[#This Row],[margen]]/Tabla1[[#This Row],[venta_total]]</f>
        <v>0.35000004720646311</v>
      </c>
    </row>
    <row r="847" spans="1:14" x14ac:dyDescent="0.25">
      <c r="A847" s="2">
        <v>45437</v>
      </c>
      <c r="B847" t="s">
        <v>32</v>
      </c>
      <c r="C847" t="s">
        <v>11</v>
      </c>
      <c r="D847" t="s">
        <v>23</v>
      </c>
      <c r="E847" t="s">
        <v>20</v>
      </c>
      <c r="F847" t="s">
        <v>30</v>
      </c>
      <c r="G847">
        <v>1</v>
      </c>
      <c r="H847" s="1">
        <v>1206574</v>
      </c>
      <c r="I847" s="1">
        <v>844601</v>
      </c>
      <c r="J847" t="s">
        <v>25</v>
      </c>
      <c r="K847" s="1">
        <f>Tabla1[[#This Row],[cantidad]]*Tabla1[[#This Row],[precio_unitario]]</f>
        <v>1206574</v>
      </c>
      <c r="L847" s="1">
        <f>Tabla1[[#This Row],[cantidad]]*Tabla1[[#This Row],[costo_unitario]]</f>
        <v>844601</v>
      </c>
      <c r="M847" s="1">
        <f>Tabla1[[#This Row],[venta_total]]-Tabla1[[#This Row],[costo_total]]</f>
        <v>361973</v>
      </c>
      <c r="N847" s="3">
        <f>Tabla1[[#This Row],[margen]]/Tabla1[[#This Row],[venta_total]]</f>
        <v>0.30000066303434353</v>
      </c>
    </row>
    <row r="848" spans="1:14" x14ac:dyDescent="0.25">
      <c r="A848" s="2">
        <v>45296</v>
      </c>
      <c r="B848" t="s">
        <v>32</v>
      </c>
      <c r="C848" t="s">
        <v>11</v>
      </c>
      <c r="D848" t="s">
        <v>19</v>
      </c>
      <c r="E848" t="s">
        <v>16</v>
      </c>
      <c r="F848" t="s">
        <v>35</v>
      </c>
      <c r="G848">
        <v>3</v>
      </c>
      <c r="H848" s="1">
        <v>1087826</v>
      </c>
      <c r="I848" s="1">
        <v>707086</v>
      </c>
      <c r="J848" t="s">
        <v>31</v>
      </c>
      <c r="K848" s="1">
        <f>Tabla1[[#This Row],[cantidad]]*Tabla1[[#This Row],[precio_unitario]]</f>
        <v>3263478</v>
      </c>
      <c r="L848" s="1">
        <f>Tabla1[[#This Row],[cantidad]]*Tabla1[[#This Row],[costo_unitario]]</f>
        <v>2121258</v>
      </c>
      <c r="M848" s="1">
        <f>Tabla1[[#This Row],[venta_total]]-Tabla1[[#This Row],[costo_total]]</f>
        <v>1142220</v>
      </c>
      <c r="N848" s="3">
        <f>Tabla1[[#This Row],[margen]]/Tabla1[[#This Row],[venta_total]]</f>
        <v>0.35000082733819565</v>
      </c>
    </row>
    <row r="849" spans="1:14" x14ac:dyDescent="0.25">
      <c r="A849" s="2">
        <v>45420</v>
      </c>
      <c r="B849" t="s">
        <v>32</v>
      </c>
      <c r="C849" t="s">
        <v>11</v>
      </c>
      <c r="D849" t="s">
        <v>23</v>
      </c>
      <c r="E849" t="s">
        <v>13</v>
      </c>
      <c r="F849" t="s">
        <v>28</v>
      </c>
      <c r="G849">
        <v>1</v>
      </c>
      <c r="H849" s="1">
        <v>2865798</v>
      </c>
      <c r="I849" s="1">
        <v>2292638</v>
      </c>
      <c r="J849" t="s">
        <v>15</v>
      </c>
      <c r="K849" s="1">
        <f>Tabla1[[#This Row],[cantidad]]*Tabla1[[#This Row],[precio_unitario]]</f>
        <v>2865798</v>
      </c>
      <c r="L849" s="1">
        <f>Tabla1[[#This Row],[cantidad]]*Tabla1[[#This Row],[costo_unitario]]</f>
        <v>2292638</v>
      </c>
      <c r="M849" s="1">
        <f>Tabla1[[#This Row],[venta_total]]-Tabla1[[#This Row],[costo_total]]</f>
        <v>573160</v>
      </c>
      <c r="N849" s="3">
        <f>Tabla1[[#This Row],[margen]]/Tabla1[[#This Row],[venta_total]]</f>
        <v>0.20000013957717885</v>
      </c>
    </row>
    <row r="850" spans="1:14" x14ac:dyDescent="0.25">
      <c r="A850" s="2">
        <v>45392</v>
      </c>
      <c r="B850" t="s">
        <v>18</v>
      </c>
      <c r="C850" t="s">
        <v>11</v>
      </c>
      <c r="D850" t="s">
        <v>23</v>
      </c>
      <c r="E850" t="s">
        <v>13</v>
      </c>
      <c r="F850" t="s">
        <v>28</v>
      </c>
      <c r="G850">
        <v>1</v>
      </c>
      <c r="H850" s="1">
        <v>2179820</v>
      </c>
      <c r="I850" s="1">
        <v>1743856</v>
      </c>
      <c r="J850" t="s">
        <v>15</v>
      </c>
      <c r="K850" s="1">
        <f>Tabla1[[#This Row],[cantidad]]*Tabla1[[#This Row],[precio_unitario]]</f>
        <v>2179820</v>
      </c>
      <c r="L850" s="1">
        <f>Tabla1[[#This Row],[cantidad]]*Tabla1[[#This Row],[costo_unitario]]</f>
        <v>1743856</v>
      </c>
      <c r="M850" s="1">
        <f>Tabla1[[#This Row],[venta_total]]-Tabla1[[#This Row],[costo_total]]</f>
        <v>435964</v>
      </c>
      <c r="N850" s="3">
        <f>Tabla1[[#This Row],[margen]]/Tabla1[[#This Row],[venta_total]]</f>
        <v>0.2</v>
      </c>
    </row>
    <row r="851" spans="1:14" x14ac:dyDescent="0.25">
      <c r="A851" s="2">
        <v>45451</v>
      </c>
      <c r="B851" t="s">
        <v>32</v>
      </c>
      <c r="C851" t="s">
        <v>11</v>
      </c>
      <c r="D851" t="s">
        <v>12</v>
      </c>
      <c r="E851" t="s">
        <v>13</v>
      </c>
      <c r="F851" t="s">
        <v>14</v>
      </c>
      <c r="G851">
        <v>1</v>
      </c>
      <c r="H851" s="1">
        <v>4705138</v>
      </c>
      <c r="I851" s="1">
        <v>3764110</v>
      </c>
      <c r="J851" t="s">
        <v>15</v>
      </c>
      <c r="K851" s="1">
        <f>Tabla1[[#This Row],[cantidad]]*Tabla1[[#This Row],[precio_unitario]]</f>
        <v>4705138</v>
      </c>
      <c r="L851" s="1">
        <f>Tabla1[[#This Row],[cantidad]]*Tabla1[[#This Row],[costo_unitario]]</f>
        <v>3764110</v>
      </c>
      <c r="M851" s="1">
        <f>Tabla1[[#This Row],[venta_total]]-Tabla1[[#This Row],[costo_total]]</f>
        <v>941028</v>
      </c>
      <c r="N851" s="3">
        <f>Tabla1[[#This Row],[margen]]/Tabla1[[#This Row],[venta_total]]</f>
        <v>0.20000008501344702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Dario Fleitas Fleitas</cp:lastModifiedBy>
  <dcterms:created xsi:type="dcterms:W3CDTF">2025-12-31T01:28:41Z</dcterms:created>
  <dcterms:modified xsi:type="dcterms:W3CDTF">2026-01-07T02:30:15Z</dcterms:modified>
</cp:coreProperties>
</file>